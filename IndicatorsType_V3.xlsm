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695" windowHeight="12210" activeTab="3"/>
  </bookViews>
  <sheets>
    <sheet name="Ori" sheetId="1" r:id="rId1"/>
    <sheet name="CodePaste" sheetId="2" r:id="rId2"/>
    <sheet name="ParameterInfo" sheetId="3" r:id="rId3"/>
    <sheet name="ParameterName_PropertyName" sheetId="4" r:id="rId4"/>
    <sheet name="Param_Iterations" sheetId="5" r:id="rId5"/>
  </sheets>
  <definedNames>
    <definedName name="_xlnm._FilterDatabase" localSheetId="0" hidden="1">Ori!$A$1:$L$193</definedName>
    <definedName name="_xlnm._FilterDatabase" localSheetId="2" hidden="1">ParameterInfo!$A$1:$P$193</definedName>
    <definedName name="_xlnm._FilterDatabase" localSheetId="3" hidden="1">ParameterName_PropertyName!$A$1:$AB$193</definedName>
  </definedNames>
  <calcPr calcId="144525" calcCompleted="0" calcOnSave="0"/>
</workbook>
</file>

<file path=xl/sharedStrings.xml><?xml version="1.0" encoding="utf-8"?>
<sst xmlns="http://schemas.openxmlformats.org/spreadsheetml/2006/main" count="751">
  <si>
    <t>Type</t>
  </si>
  <si>
    <t>Name</t>
  </si>
  <si>
    <t>Para1</t>
  </si>
  <si>
    <t>Para2</t>
  </si>
  <si>
    <t>Para3</t>
  </si>
  <si>
    <t>Para4</t>
  </si>
  <si>
    <t>Para5</t>
  </si>
  <si>
    <t>Para6</t>
  </si>
  <si>
    <t>Para7</t>
  </si>
  <si>
    <t>Para8</t>
  </si>
  <si>
    <t>Para9</t>
  </si>
  <si>
    <t>Para10</t>
  </si>
  <si>
    <t>Code</t>
  </si>
  <si>
    <t>if (p_object.GetType().ToString().Substring(FindAllIndexOfSubStr(".",p_object.GetType().ToString()).Max()+1)=="</t>
  </si>
  <si>
    <t>")</t>
  </si>
  <si>
    <t>NinjaTrader.NinjaScript.Indicators.SMA</t>
  </si>
  <si>
    <t>SMA</t>
  </si>
  <si>
    <t>Int32</t>
  </si>
  <si>
    <t>NinjaTrader.NinjaScript.ISeries`1[System.Double]</t>
  </si>
  <si>
    <t>NinjaTrader.NinjaScript.Indicators.StdDev</t>
  </si>
  <si>
    <t>StdDev</t>
  </si>
  <si>
    <t>NinjaTrader.NinjaScript.Indicators.StdError</t>
  </si>
  <si>
    <t>StdError</t>
  </si>
  <si>
    <t>NinjaTrader.NinjaScript.Indicators.Stochastics</t>
  </si>
  <si>
    <t>Stochastics</t>
  </si>
  <si>
    <t>NinjaTrader.NinjaScript.Indicators.StochasticsFast</t>
  </si>
  <si>
    <t>StochasticsFast</t>
  </si>
  <si>
    <t>NinjaTrader.NinjaScript.Indicators.StochRSI</t>
  </si>
  <si>
    <t>StochRSI</t>
  </si>
  <si>
    <t>NinjaTrader.NinjaScript.Indicators.SUM</t>
  </si>
  <si>
    <t>SUM</t>
  </si>
  <si>
    <t>NinjaTrader.NinjaScript.Indicators.Swing</t>
  </si>
  <si>
    <t>Swing</t>
  </si>
  <si>
    <t>NinjaTrader.NinjaScript.Indicators.T3</t>
  </si>
  <si>
    <t>T3</t>
  </si>
  <si>
    <t>Double</t>
  </si>
  <si>
    <t>NinjaTrader.NinjaScript.Indicators.TEMA</t>
  </si>
  <si>
    <t>TEMA</t>
  </si>
  <si>
    <t>NinjaTrader.NinjaScript.Indicators.TickCounter</t>
  </si>
  <si>
    <t>TickCounter</t>
  </si>
  <si>
    <t>Boolean</t>
  </si>
  <si>
    <t>NinjaTrader.NinjaScript.Indicators.TMA</t>
  </si>
  <si>
    <t>TMA</t>
  </si>
  <si>
    <t>NinjaTrader.NinjaScript.Indicators.TRIX</t>
  </si>
  <si>
    <t>TRIX</t>
  </si>
  <si>
    <t>NinjaTrader.NinjaScript.Indicators.TSF</t>
  </si>
  <si>
    <t>TSF</t>
  </si>
  <si>
    <t>NinjaTrader.NinjaScript.Indicators.TSI</t>
  </si>
  <si>
    <t>TSI</t>
  </si>
  <si>
    <t>NinjaTrader.NinjaScript.Indicators.UltimateOscillator</t>
  </si>
  <si>
    <t>UltimateOscillator</t>
  </si>
  <si>
    <t>NinjaTrader.NinjaScript.Indicators.VMA</t>
  </si>
  <si>
    <t>VMA</t>
  </si>
  <si>
    <t>NinjaTrader.NinjaScript.Indicators.VOL</t>
  </si>
  <si>
    <t>VOL</t>
  </si>
  <si>
    <t>NinjaTrader.NinjaScript.Indicators.VOLMA</t>
  </si>
  <si>
    <t>VOLMA</t>
  </si>
  <si>
    <t>NinjaTrader.NinjaScript.Indicators.VolumeCounter</t>
  </si>
  <si>
    <t>VolumeCounter</t>
  </si>
  <si>
    <t>NinjaTrader.NinjaScript.Indicators.VolumeOscillator</t>
  </si>
  <si>
    <t>VolumeOscillator</t>
  </si>
  <si>
    <t>NinjaTrader.NinjaScript.Indicators.VolumeProfile</t>
  </si>
  <si>
    <t>VolumeProfile</t>
  </si>
  <si>
    <t>NinjaTrader.NinjaScript.Indicators.VolumeUpDown</t>
  </si>
  <si>
    <t>VolumeUpDown</t>
  </si>
  <si>
    <t>NinjaTrader.NinjaScript.Indicators.VolumeZones</t>
  </si>
  <si>
    <t>VolumeZones</t>
  </si>
  <si>
    <t>NinjaTrader.NinjaScript.Indicators.VROC</t>
  </si>
  <si>
    <t>VROC</t>
  </si>
  <si>
    <t>NinjaTrader.NinjaScript.Indicators.VWMA</t>
  </si>
  <si>
    <t>VWMA</t>
  </si>
  <si>
    <t>NinjaTrader.NinjaScript.Indicators.WilliamsR</t>
  </si>
  <si>
    <t>WilliamsR</t>
  </si>
  <si>
    <t>NinjaTrader.NinjaScript.Indicators.WMA</t>
  </si>
  <si>
    <t>WMA</t>
  </si>
  <si>
    <t>NinjaTrader.NinjaScript.Indicators.ZigZag</t>
  </si>
  <si>
    <t>ZigZag</t>
  </si>
  <si>
    <t>DeviationType</t>
  </si>
  <si>
    <t>NinjaTrader.NinjaScript.Indicators.ZLEMA</t>
  </si>
  <si>
    <t>ZLEMA</t>
  </si>
  <si>
    <t>NinjaTrader.NinjaScript.Indicators.WoodiesCCI</t>
  </si>
  <si>
    <t>WoodiesCCI</t>
  </si>
  <si>
    <t>NinjaTrader.NinjaScript.Indicators.WoodiesPivots</t>
  </si>
  <si>
    <t>WoodiesPivots</t>
  </si>
  <si>
    <t>NinjaTrader.NinjaScript.Indicators.HLCCalculationModeWoodie</t>
  </si>
  <si>
    <t>NinjaTrader.NinjaScript.Indicators.ADL</t>
  </si>
  <si>
    <t>ADL</t>
  </si>
  <si>
    <t>NinjaTrader.NinjaScript.Indicators.ADX</t>
  </si>
  <si>
    <t>ADX</t>
  </si>
  <si>
    <t>NinjaTrader.NinjaScript.Indicators.ADXR</t>
  </si>
  <si>
    <t>ADXR</t>
  </si>
  <si>
    <t>NinjaTrader.NinjaScript.Indicators.APZ</t>
  </si>
  <si>
    <t>APZ</t>
  </si>
  <si>
    <t>NinjaTrader.NinjaScript.Indicators.Aroon</t>
  </si>
  <si>
    <t>Aroon</t>
  </si>
  <si>
    <t>NinjaTrader.NinjaScript.Indicators.AroonOscillator</t>
  </si>
  <si>
    <t>AroonOscillator</t>
  </si>
  <si>
    <t>NinjaTrader.NinjaScript.Indicators.ATR</t>
  </si>
  <si>
    <t>ATR</t>
  </si>
  <si>
    <t>NinjaTrader.NinjaScript.Indicators.BarTimer</t>
  </si>
  <si>
    <t>BarTimer</t>
  </si>
  <si>
    <t>NinjaTrader.NinjaScript.Indicators.Bollinger</t>
  </si>
  <si>
    <t>Bollinger</t>
  </si>
  <si>
    <t>NinjaTrader.NinjaScript.Indicators.BOP</t>
  </si>
  <si>
    <t>BOP</t>
  </si>
  <si>
    <t>NinjaTrader.NinjaScript.Indicators.BuySellPressure</t>
  </si>
  <si>
    <t>BuySellPressure</t>
  </si>
  <si>
    <t>NinjaTrader.NinjaScript.Indicators.BuySellVolume</t>
  </si>
  <si>
    <t>BuySellVolume</t>
  </si>
  <si>
    <t>NinjaTrader.NinjaScript.Indicators.CandlestickPattern</t>
  </si>
  <si>
    <t>CandlestickPattern</t>
  </si>
  <si>
    <t>ChartPattern</t>
  </si>
  <si>
    <t>NinjaTrader.NinjaScript.Indicators.CCI</t>
  </si>
  <si>
    <t>CCI</t>
  </si>
  <si>
    <t>NinjaTrader.NinjaScript.Indicators.ChaikinMoneyFlow</t>
  </si>
  <si>
    <t>ChaikinMoneyFlow</t>
  </si>
  <si>
    <t>NinjaTrader.NinjaScript.Indicators.ChaikinOscillator</t>
  </si>
  <si>
    <t>ChaikinOscillator</t>
  </si>
  <si>
    <t>NinjaTrader.NinjaScript.Indicators.ChaikinVolatility</t>
  </si>
  <si>
    <t>ChaikinVolatility</t>
  </si>
  <si>
    <t>NinjaTrader.NinjaScript.Indicators.CMO</t>
  </si>
  <si>
    <t>CMO</t>
  </si>
  <si>
    <t>NinjaTrader.NinjaScript.Indicators.ConstantLines</t>
  </si>
  <si>
    <t>ConstantLines</t>
  </si>
  <si>
    <t>NinjaTrader.NinjaScript.Indicators.CurrentDayOHL</t>
  </si>
  <si>
    <t>CurrentDayOHL</t>
  </si>
  <si>
    <t>NinjaTrader.NinjaScript.Indicators.Darvas</t>
  </si>
  <si>
    <t>Darvas</t>
  </si>
  <si>
    <t>NinjaTrader.NinjaScript.Indicators.DEMA</t>
  </si>
  <si>
    <t>DEMA</t>
  </si>
  <si>
    <t>NinjaTrader.NinjaScript.Indicators.DM</t>
  </si>
  <si>
    <t>DM</t>
  </si>
  <si>
    <t>NinjaTrader.NinjaScript.Indicators.DMI</t>
  </si>
  <si>
    <t>DMI</t>
  </si>
  <si>
    <t>NinjaTrader.NinjaScript.Indicators.DMIndex</t>
  </si>
  <si>
    <t>DMIndex</t>
  </si>
  <si>
    <t>NinjaTrader.NinjaScript.Indicators.DonchianChannel</t>
  </si>
  <si>
    <t>DonchianChannel</t>
  </si>
  <si>
    <t>NinjaTrader.NinjaScript.Indicators.DoubleStochastics</t>
  </si>
  <si>
    <t>DoubleStochastics</t>
  </si>
  <si>
    <t>NinjaTrader.NinjaScript.Indicators.EaseOfMovement</t>
  </si>
  <si>
    <t>EaseOfMovement</t>
  </si>
  <si>
    <t>NinjaTrader.NinjaScript.Indicators.EMA</t>
  </si>
  <si>
    <t>EMA</t>
  </si>
  <si>
    <t>NinjaTrader.NinjaScript.Indicators.FisherTransform</t>
  </si>
  <si>
    <t>FisherTransform</t>
  </si>
  <si>
    <t>NinjaTrader.NinjaScript.Indicators.FOSC</t>
  </si>
  <si>
    <t>FOSC</t>
  </si>
  <si>
    <t>NinjaTrader.NinjaScript.Indicators.HMA</t>
  </si>
  <si>
    <t>HMA</t>
  </si>
  <si>
    <t>NinjaTrader.NinjaScript.Indicators.KAMA</t>
  </si>
  <si>
    <t>KAMA</t>
  </si>
  <si>
    <t>NinjaTrader.NinjaScript.Indicators.KeltnerChannel</t>
  </si>
  <si>
    <t>KeltnerChannel</t>
  </si>
  <si>
    <t>NinjaTrader.NinjaScript.Indicators.KeyReversalDown</t>
  </si>
  <si>
    <t>KeyReversalDown</t>
  </si>
  <si>
    <t>NinjaTrader.NinjaScript.Indicators.KeyReversalUp</t>
  </si>
  <si>
    <t>KeyReversalUp</t>
  </si>
  <si>
    <t>NinjaTrader.NinjaScript.Indicators.LinReg</t>
  </si>
  <si>
    <t>LinReg</t>
  </si>
  <si>
    <t>NinjaTrader.NinjaScript.Indicators.LinRegIntercept</t>
  </si>
  <si>
    <t>LinRegIntercept</t>
  </si>
  <si>
    <t>NinjaTrader.NinjaScript.Indicators.LinRegSlope</t>
  </si>
  <si>
    <t>LinRegSlope</t>
  </si>
  <si>
    <t>NinjaTrader.NinjaScript.Indicators.MACD</t>
  </si>
  <si>
    <t>MACD</t>
  </si>
  <si>
    <t>NinjaTrader.NinjaScript.Indicators.MAEnvelopes</t>
  </si>
  <si>
    <t>MAEnvelopes</t>
  </si>
  <si>
    <t>NinjaTrader.NinjaScript.Indicators.MAMA</t>
  </si>
  <si>
    <t>MAMA</t>
  </si>
  <si>
    <t>NinjaTrader.NinjaScript.Indicators.MAX</t>
  </si>
  <si>
    <t>MAX</t>
  </si>
  <si>
    <t>NinjaTrader.NinjaScript.Indicators.MFI</t>
  </si>
  <si>
    <t>MFI</t>
  </si>
  <si>
    <t>NinjaTrader.NinjaScript.Indicators.MIN</t>
  </si>
  <si>
    <t>MIN</t>
  </si>
  <si>
    <t>NinjaTrader.NinjaScript.Indicators.Momentum</t>
  </si>
  <si>
    <t>Momentum</t>
  </si>
  <si>
    <t>NinjaTrader.NinjaScript.Indicators.NBarsDown</t>
  </si>
  <si>
    <t>NBarsDown</t>
  </si>
  <si>
    <t>NinjaTrader.NinjaScript.Indicators.NBarsUp</t>
  </si>
  <si>
    <t>NBarsUp</t>
  </si>
  <si>
    <t>NinjaTrader.NinjaScript.Indicators.OBV</t>
  </si>
  <si>
    <t>OBV</t>
  </si>
  <si>
    <t>NinjaTrader.NinjaScript.Indicators.ParabolicSAR</t>
  </si>
  <si>
    <t>ParabolicSAR</t>
  </si>
  <si>
    <t>NinjaTrader.NinjaScript.Indicators.PFE</t>
  </si>
  <si>
    <t>PFE</t>
  </si>
  <si>
    <t>NinjaTrader.NinjaScript.Indicators.Pivots</t>
  </si>
  <si>
    <t>Pivots</t>
  </si>
  <si>
    <t>NinjaTrader.NinjaScript.Indicators.PivotRange</t>
  </si>
  <si>
    <t>NinjaTrader.NinjaScript.Indicators.HLCCalculationMode</t>
  </si>
  <si>
    <t>NinjaTrader.NinjaScript.Indicators.PPO</t>
  </si>
  <si>
    <t>PPO</t>
  </si>
  <si>
    <t>NinjaTrader.NinjaScript.Indicators.PriceOscillator</t>
  </si>
  <si>
    <t>PriceOscillator</t>
  </si>
  <si>
    <t>NinjaTrader.NinjaScript.Indicators.PriorDayOHLC</t>
  </si>
  <si>
    <t>PriorDayOHLC</t>
  </si>
  <si>
    <t>NinjaTrader.NinjaScript.Indicators.Range</t>
  </si>
  <si>
    <t>Range</t>
  </si>
  <si>
    <t>NinjaTrader.NinjaScript.Indicators.RangeCounter</t>
  </si>
  <si>
    <t>RangeCounter</t>
  </si>
  <si>
    <t>NinjaTrader.NinjaScript.Indicators.RegressionChannel</t>
  </si>
  <si>
    <t>RegressionChannel</t>
  </si>
  <si>
    <t>NinjaTrader.NinjaScript.Indicators.RIND</t>
  </si>
  <si>
    <t>RIND</t>
  </si>
  <si>
    <t>NinjaTrader.NinjaScript.Indicators.ROC</t>
  </si>
  <si>
    <t>ROC</t>
  </si>
  <si>
    <t>NinjaTrader.NinjaScript.Indicators.RSI</t>
  </si>
  <si>
    <t>RSI</t>
  </si>
  <si>
    <t>NinjaTrader.NinjaScript.Indicators.RSquared</t>
  </si>
  <si>
    <t>RSquared</t>
  </si>
  <si>
    <t>NinjaTrader.NinjaScript.Indicators.RSS</t>
  </si>
  <si>
    <t>RSS</t>
  </si>
  <si>
    <t>NinjaTrader.NinjaScript.Indicators.RVI</t>
  </si>
  <si>
    <t>RVI</t>
  </si>
  <si>
    <t>if (objectName=="SMA"){var myIndicatorType = p_object as NinjaTrader.NinjaScript.Indicators.SMA; return (myIndicatorType[p_BarsAgo]); }</t>
  </si>
  <si>
    <t>if (objectName=="StdDev"){var myIndicatorType = p_object as NinjaTrader.NinjaScript.Indicators.StdDev; return (myIndicatorType[p_BarsAgo]); }</t>
  </si>
  <si>
    <t>if (objectName=="StdError"){var myIndicatorType = p_object as NinjaTrader.NinjaScript.Indicators.StdError; return (myIndicatorType[p_BarsAgo]); }</t>
  </si>
  <si>
    <t>if (objectName=="Stochastics"){var myIndicatorType = p_object as NinjaTrader.NinjaScript.Indicators.Stochastics; return (myIndicatorType[p_BarsAgo]); }</t>
  </si>
  <si>
    <t>if (objectName=="StochasticsFast"){var myIndicatorType = p_object as NinjaTrader.NinjaScript.Indicators.StochasticsFast; return (myIndicatorType[p_BarsAgo]); }</t>
  </si>
  <si>
    <t>if (objectName=="StochRSI"){var myIndicatorType = p_object as NinjaTrader.NinjaScript.Indicators.StochRSI; return (myIndicatorType[p_BarsAgo]); }</t>
  </si>
  <si>
    <t>if (objectName=="SUM"){var myIndicatorType = p_object as NinjaTrader.NinjaScript.Indicators.SUM; return (myIndicatorType[p_BarsAgo]); }</t>
  </si>
  <si>
    <t>if (objectName=="Swing"){var myIndicatorType = p_object as NinjaTrader.NinjaScript.Indicators.Swing; return (myIndicatorType[p_BarsAgo]); }</t>
  </si>
  <si>
    <t>if (objectName=="T3"){var myIndicatorType = p_object as NinjaTrader.NinjaScript.Indicators.T3; return (myIndicatorType[p_BarsAgo]); }</t>
  </si>
  <si>
    <t>if (objectName=="TEMA"){var myIndicatorType = p_object as NinjaTrader.NinjaScript.Indicators.TEMA; return (myIndicatorType[p_BarsAgo]); }</t>
  </si>
  <si>
    <t>if (objectName=="TickCounter"){var myIndicatorType = p_object as NinjaTrader.NinjaScript.Indicators.TickCounter; return (myIndicatorType[p_BarsAgo]); }</t>
  </si>
  <si>
    <t>if (objectName=="TMA"){var myIndicatorType = p_object as NinjaTrader.NinjaScript.Indicators.TMA; return (myIndicatorType[p_BarsAgo]); }</t>
  </si>
  <si>
    <t>if (objectName=="TRIX"){var myIndicatorType = p_object as NinjaTrader.NinjaScript.Indicators.TRIX; return (myIndicatorType[p_BarsAgo]); }</t>
  </si>
  <si>
    <t>if (objectName=="TSF"){var myIndicatorType = p_object as NinjaTrader.NinjaScript.Indicators.TSF; return (myIndicatorType[p_BarsAgo]); }</t>
  </si>
  <si>
    <t>if (objectName=="TSI"){var myIndicatorType = p_object as NinjaTrader.NinjaScript.Indicators.TSI; return (myIndicatorType[p_BarsAgo]); }</t>
  </si>
  <si>
    <t>if (objectName=="UltimateOscillator"){var myIndicatorType = p_object as NinjaTrader.NinjaScript.Indicators.UltimateOscillator; return (myIndicatorType[p_BarsAgo]); }</t>
  </si>
  <si>
    <t>if (objectName=="VMA"){var myIndicatorType = p_object as NinjaTrader.NinjaScript.Indicators.VMA; return (myIndicatorType[p_BarsAgo]); }</t>
  </si>
  <si>
    <t>if (objectName=="VOL"){var myIndicatorType = p_object as NinjaTrader.NinjaScript.Indicators.VOL; return (myIndicatorType[p_BarsAgo]); }</t>
  </si>
  <si>
    <t>if (objectName=="VOLMA"){var myIndicatorType = p_object as NinjaTrader.NinjaScript.Indicators.VOLMA; return (myIndicatorType[p_BarsAgo]); }</t>
  </si>
  <si>
    <t>if (objectName=="VolumeCounter"){var myIndicatorType = p_object as NinjaTrader.NinjaScript.Indicators.VolumeCounter; return (myIndicatorType[p_BarsAgo]); }</t>
  </si>
  <si>
    <t>if (objectName=="VolumeOscillator"){var myIndicatorType = p_object as NinjaTrader.NinjaScript.Indicators.VolumeOscillator; return (myIndicatorType[p_BarsAgo]); }</t>
  </si>
  <si>
    <t>if (objectName=="VolumeProfile"){var myIndicatorType = p_object as NinjaTrader.NinjaScript.Indicators.VolumeProfile; return (myIndicatorType[p_BarsAgo]); }</t>
  </si>
  <si>
    <t>if (objectName=="VolumeUpDown"){var myIndicatorType = p_object as NinjaTrader.NinjaScript.Indicators.VolumeUpDown; return (myIndicatorType[p_BarsAgo]); }</t>
  </si>
  <si>
    <t>if (objectName=="VolumeZones"){var myIndicatorType = p_object as NinjaTrader.NinjaScript.Indicators.VolumeZones; return (myIndicatorType[p_BarsAgo]); }</t>
  </si>
  <si>
    <t>if (objectName=="VROC"){var myIndicatorType = p_object as NinjaTrader.NinjaScript.Indicators.VROC; return (myIndicatorType[p_BarsAgo]); }</t>
  </si>
  <si>
    <t>if (objectName=="VWMA"){var myIndicatorType = p_object as NinjaTrader.NinjaScript.Indicators.VWMA; return (myIndicatorType[p_BarsAgo]); }</t>
  </si>
  <si>
    <t>if (objectName=="WilliamsR"){var myIndicatorType = p_object as NinjaTrader.NinjaScript.Indicators.WilliamsR; return (myIndicatorType[p_BarsAgo]); }</t>
  </si>
  <si>
    <t>if (objectName=="WMA"){var myIndicatorType = p_object as NinjaTrader.NinjaScript.Indicators.WMA; return (myIndicatorType[p_BarsAgo]); }</t>
  </si>
  <si>
    <t>if (objectName=="ZigZag"){var myIndicatorType = p_object as NinjaTrader.NinjaScript.Indicators.ZigZag; return (myIndicatorType[p_BarsAgo]); }</t>
  </si>
  <si>
    <t>if (objectName=="ZLEMA"){var myIndicatorType = p_object as NinjaTrader.NinjaScript.Indicators.ZLEMA; return (myIndicatorType[p_BarsAgo]); }</t>
  </si>
  <si>
    <t>if (objectName=="WoodiesCCI"){var myIndicatorType = p_object as NinjaTrader.NinjaScript.Indicators.WoodiesCCI; return (myIndicatorType[p_BarsAgo]); }</t>
  </si>
  <si>
    <t>if (objectName=="WoodiesPivots"){var myIndicatorType = p_object as NinjaTrader.NinjaScript.Indicators.WoodiesPivots; return (myIndicatorType[p_BarsAgo]); }</t>
  </si>
  <si>
    <t>if (objectName=="ADL"){var myIndicatorType = p_object as NinjaTrader.NinjaScript.Indicators.ADL; return (myIndicatorType[p_BarsAgo]); }</t>
  </si>
  <si>
    <t>if (objectName=="ADX"){var myIndicatorType = p_object as NinjaTrader.NinjaScript.Indicators.ADX; return (myIndicatorType[p_BarsAgo]); }</t>
  </si>
  <si>
    <t>if (objectName=="ADXR"){var myIndicatorType = p_object as NinjaTrader.NinjaScript.Indicators.ADXR; return (myIndicatorType[p_BarsAgo]); }</t>
  </si>
  <si>
    <t>if (objectName=="APZ"){var myIndicatorType = p_object as NinjaTrader.NinjaScript.Indicators.APZ; return (myIndicatorType[p_BarsAgo]); }</t>
  </si>
  <si>
    <t>if (objectName=="Aroon"){var myIndicatorType = p_object as NinjaTrader.NinjaScript.Indicators.Aroon; return (myIndicatorType[p_BarsAgo]); }</t>
  </si>
  <si>
    <t>if (objectName=="AroonOscillator"){var myIndicatorType = p_object as NinjaTrader.NinjaScript.Indicators.AroonOscillator; return (myIndicatorType[p_BarsAgo]); }</t>
  </si>
  <si>
    <t>if (objectName=="ATR"){var myIndicatorType = p_object as NinjaTrader.NinjaScript.Indicators.ATR; return (myIndicatorType[p_BarsAgo]); }</t>
  </si>
  <si>
    <t>if (objectName=="BarTimer"){var myIndicatorType = p_object as NinjaTrader.NinjaScript.Indicators.BarTimer; return (myIndicatorType[p_BarsAgo]); }</t>
  </si>
  <si>
    <t>if (objectName=="Bollinger"){var myIndicatorType = p_object as NinjaTrader.NinjaScript.Indicators.Bollinger; return (myIndicatorType[p_BarsAgo]); }</t>
  </si>
  <si>
    <t>if (objectName=="BOP"){var myIndicatorType = p_object as NinjaTrader.NinjaScript.Indicators.BOP; return (myIndicatorType[p_BarsAgo]); }</t>
  </si>
  <si>
    <t>if (objectName=="BuySellPressure"){var myIndicatorType = p_object as NinjaTrader.NinjaScript.Indicators.BuySellPressure; return (myIndicatorType[p_BarsAgo]); }</t>
  </si>
  <si>
    <t>if (objectName=="BuySellVolume"){var myIndicatorType = p_object as NinjaTrader.NinjaScript.Indicators.BuySellVolume; return (myIndicatorType[p_BarsAgo]); }</t>
  </si>
  <si>
    <t>if (objectName=="CandlestickPattern"){var myIndicatorType = p_object as NinjaTrader.NinjaScript.Indicators.CandlestickPattern; return (myIndicatorType[p_BarsAgo]); }</t>
  </si>
  <si>
    <t>if (objectName=="CCI"){var myIndicatorType = p_object as NinjaTrader.NinjaScript.Indicators.CCI; return (myIndicatorType[p_BarsAgo]); }</t>
  </si>
  <si>
    <t>if (objectName=="ChaikinMoneyFlow"){var myIndicatorType = p_object as NinjaTrader.NinjaScript.Indicators.ChaikinMoneyFlow; return (myIndicatorType[p_BarsAgo]); }</t>
  </si>
  <si>
    <t>if (objectName=="ChaikinOscillator"){var myIndicatorType = p_object as NinjaTrader.NinjaScript.Indicators.ChaikinOscillator; return (myIndicatorType[p_BarsAgo]); }</t>
  </si>
  <si>
    <t>if (objectName=="ChaikinVolatility"){var myIndicatorType = p_object as NinjaTrader.NinjaScript.Indicators.ChaikinVolatility; return (myIndicatorType[p_BarsAgo]); }</t>
  </si>
  <si>
    <t>if (objectName=="CMO"){var myIndicatorType = p_object as NinjaTrader.NinjaScript.Indicators.CMO; return (myIndicatorType[p_BarsAgo]); }</t>
  </si>
  <si>
    <t>if (objectName=="ConstantLines"){var myIndicatorType = p_object as NinjaTrader.NinjaScript.Indicators.ConstantLines; return (myIndicatorType[p_BarsAgo]); }</t>
  </si>
  <si>
    <t>if (objectName=="CurrentDayOHL"){var myIndicatorType = p_object as NinjaTrader.NinjaScript.Indicators.CurrentDayOHL; return (myIndicatorType[p_BarsAgo]); }</t>
  </si>
  <si>
    <t>if (objectName=="Darvas"){var myIndicatorType = p_object as NinjaTrader.NinjaScript.Indicators.Darvas; return (myIndicatorType[p_BarsAgo]); }</t>
  </si>
  <si>
    <t>if (objectName=="DEMA"){var myIndicatorType = p_object as NinjaTrader.NinjaScript.Indicators.DEMA; return (myIndicatorType[p_BarsAgo]); }</t>
  </si>
  <si>
    <t>if (objectName=="DM"){var myIndicatorType = p_object as NinjaTrader.NinjaScript.Indicators.DM; return (myIndicatorType[p_BarsAgo]); }</t>
  </si>
  <si>
    <t>if (objectName=="DMI"){var myIndicatorType = p_object as NinjaTrader.NinjaScript.Indicators.DMI; return (myIndicatorType[p_BarsAgo]); }</t>
  </si>
  <si>
    <t>if (objectName=="DMIndex"){var myIndicatorType = p_object as NinjaTrader.NinjaScript.Indicators.DMIndex; return (myIndicatorType[p_BarsAgo]); }</t>
  </si>
  <si>
    <t>if (objectName=="DonchianChannel"){var myIndicatorType = p_object as NinjaTrader.NinjaScript.Indicators.DonchianChannel; return (myIndicatorType[p_BarsAgo]); }</t>
  </si>
  <si>
    <t>if (objectName=="DoubleStochastics"){var myIndicatorType = p_object as NinjaTrader.NinjaScript.Indicators.DoubleStochastics; return (myIndicatorType[p_BarsAgo]); }</t>
  </si>
  <si>
    <t>if (objectName=="EaseOfMovement"){var myIndicatorType = p_object as NinjaTrader.NinjaScript.Indicators.EaseOfMovement; return (myIndicatorType[p_BarsAgo]); }</t>
  </si>
  <si>
    <t>if (objectName=="EMA"){var myIndicatorType = p_object as NinjaTrader.NinjaScript.Indicators.EMA; return (myIndicatorType[p_BarsAgo]); }</t>
  </si>
  <si>
    <t>if (objectName=="FisherTransform"){var myIndicatorType = p_object as NinjaTrader.NinjaScript.Indicators.FisherTransform; return (myIndicatorType[p_BarsAgo]); }</t>
  </si>
  <si>
    <t>if (objectName=="FOSC"){var myIndicatorType = p_object as NinjaTrader.NinjaScript.Indicators.FOSC; return (myIndicatorType[p_BarsAgo]); }</t>
  </si>
  <si>
    <t>if (objectName=="HMA"){var myIndicatorType = p_object as NinjaTrader.NinjaScript.Indicators.HMA; return (myIndicatorType[p_BarsAgo]); }</t>
  </si>
  <si>
    <t>if (objectName=="KAMA"){var myIndicatorType = p_object as NinjaTrader.NinjaScript.Indicators.KAMA; return (myIndicatorType[p_BarsAgo]); }</t>
  </si>
  <si>
    <t>if (objectName=="KeltnerChannel"){var myIndicatorType = p_object as NinjaTrader.NinjaScript.Indicators.KeltnerChannel; return (myIndicatorType[p_BarsAgo]); }</t>
  </si>
  <si>
    <t>if (objectName=="KeyReversalDown"){var myIndicatorType = p_object as NinjaTrader.NinjaScript.Indicators.KeyReversalDown; return (myIndicatorType[p_BarsAgo]); }</t>
  </si>
  <si>
    <t>if (objectName=="KeyReversalUp"){var myIndicatorType = p_object as NinjaTrader.NinjaScript.Indicators.KeyReversalUp; return (myIndicatorType[p_BarsAgo]); }</t>
  </si>
  <si>
    <t>if (objectName=="LinReg"){var myIndicatorType = p_object as NinjaTrader.NinjaScript.Indicators.LinReg; return (myIndicatorType[p_BarsAgo]); }</t>
  </si>
  <si>
    <t>if (objectName=="LinRegIntercept"){var myIndicatorType = p_object as NinjaTrader.NinjaScript.Indicators.LinRegIntercept; return (myIndicatorType[p_BarsAgo]); }</t>
  </si>
  <si>
    <t>if (objectName=="LinRegSlope"){var myIndicatorType = p_object as NinjaTrader.NinjaScript.Indicators.LinRegSlope; return (myIndicatorType[p_BarsAgo]); }</t>
  </si>
  <si>
    <t>if (objectName=="MACD"){var myIndicatorType = p_object as NinjaTrader.NinjaScript.Indicators.MACD; return (myIndicatorType[p_BarsAgo]); }</t>
  </si>
  <si>
    <t>if (objectName=="MAEnvelopes"){var myIndicatorType = p_object as NinjaTrader.NinjaScript.Indicators.MAEnvelopes; return (myIndicatorType[p_BarsAgo]); }</t>
  </si>
  <si>
    <t>if (objectName=="MAMA"){var myIndicatorType = p_object as NinjaTrader.NinjaScript.Indicators.MAMA; return (myIndicatorType[p_BarsAgo]); }</t>
  </si>
  <si>
    <t>if (objectName=="MAX"){var myIndicatorType = p_object as NinjaTrader.NinjaScript.Indicators.MAX; return (myIndicatorType[p_BarsAgo]); }</t>
  </si>
  <si>
    <t>if (objectName=="MFI"){var myIndicatorType = p_object as NinjaTrader.NinjaScript.Indicators.MFI; return (myIndicatorType[p_BarsAgo]); }</t>
  </si>
  <si>
    <t>if (objectName=="MIN"){var myIndicatorType = p_object as NinjaTrader.NinjaScript.Indicators.MIN; return (myIndicatorType[p_BarsAgo]); }</t>
  </si>
  <si>
    <t>if (objectName=="Momentum"){var myIndicatorType = p_object as NinjaTrader.NinjaScript.Indicators.Momentum; return (myIndicatorType[p_BarsAgo]); }</t>
  </si>
  <si>
    <t>if (objectName=="NBarsDown"){var myIndicatorType = p_object as NinjaTrader.NinjaScript.Indicators.NBarsDown; return (myIndicatorType[p_BarsAgo]); }</t>
  </si>
  <si>
    <t>if (objectName=="NBarsUp"){var myIndicatorType = p_object as NinjaTrader.NinjaScript.Indicators.NBarsUp; return (myIndicatorType[p_BarsAgo]); }</t>
  </si>
  <si>
    <t>if (objectName=="OBV"){var myIndicatorType = p_object as NinjaTrader.NinjaScript.Indicators.OBV; return (myIndicatorType[p_BarsAgo]); }</t>
  </si>
  <si>
    <t>if (objectName=="ParabolicSAR"){var myIndicatorType = p_object as NinjaTrader.NinjaScript.Indicators.ParabolicSAR; return (myIndicatorType[p_BarsAgo]); }</t>
  </si>
  <si>
    <t>if (objectName=="PFE"){var myIndicatorType = p_object as NinjaTrader.NinjaScript.Indicators.PFE; return (myIndicatorType[p_BarsAgo]); }</t>
  </si>
  <si>
    <t>if (objectName=="Pivots"){var myIndicatorType = p_object as NinjaTrader.NinjaScript.Indicators.Pivots; return (myIndicatorType[p_BarsAgo]); }</t>
  </si>
  <si>
    <t>if (objectName=="PPO"){var myIndicatorType = p_object as NinjaTrader.NinjaScript.Indicators.PPO; return (myIndicatorType[p_BarsAgo]); }</t>
  </si>
  <si>
    <t>if (objectName=="PriceOscillator"){var myIndicatorType = p_object as NinjaTrader.NinjaScript.Indicators.PriceOscillator; return (myIndicatorType[p_BarsAgo]); }</t>
  </si>
  <si>
    <t>if (objectName=="PriorDayOHLC"){var myIndicatorType = p_object as NinjaTrader.NinjaScript.Indicators.PriorDayOHLC; return (myIndicatorType[p_BarsAgo]); }</t>
  </si>
  <si>
    <t>if (objectName=="Range"){var myIndicatorType = p_object as NinjaTrader.NinjaScript.Indicators.Range; return (myIndicatorType[p_BarsAgo]); }</t>
  </si>
  <si>
    <t>if (objectName=="RangeCounter"){var myIndicatorType = p_object as NinjaTrader.NinjaScript.Indicators.RangeCounter; return (myIndicatorType[p_BarsAgo]); }</t>
  </si>
  <si>
    <t>if (objectName=="RegressionChannel"){var myIndicatorType = p_object as NinjaTrader.NinjaScript.Indicators.RegressionChannel; return (myIndicatorType[p_BarsAgo]); }</t>
  </si>
  <si>
    <t>if (objectName=="RIND"){var myIndicatorType = p_object as NinjaTrader.NinjaScript.Indicators.RIND; return (myIndicatorType[p_BarsAgo]); }</t>
  </si>
  <si>
    <t>if (objectName=="ROC"){var myIndicatorType = p_object as NinjaTrader.NinjaScript.Indicators.ROC; return (myIndicatorType[p_BarsAgo]); }</t>
  </si>
  <si>
    <t>if (objectName=="RSI"){var myIndicatorType = p_object as NinjaTrader.NinjaScript.Indicators.RSI; return (myIndicatorType[p_BarsAgo]); }</t>
  </si>
  <si>
    <t>if (objectName=="RSquared"){var myIndicatorType = p_object as NinjaTrader.NinjaScript.Indicators.RSquared; return (myIndicatorType[p_BarsAgo]); }</t>
  </si>
  <si>
    <t>if (objectName=="RSS"){var myIndicatorType = p_object as NinjaTrader.NinjaScript.Indicators.RSS; return (myIndicatorType[p_BarsAgo]); }</t>
  </si>
  <si>
    <t>if (objectName=="RVI"){var myIndicatorType = p_object as NinjaTrader.NinjaScript.Indicators.RVI; return (myIndicatorType[p_BarsAgo]); }</t>
  </si>
  <si>
    <t>MethodInfo</t>
  </si>
  <si>
    <t>IfISeires</t>
  </si>
  <si>
    <t>ParasCount</t>
  </si>
  <si>
    <t>Param1</t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</si>
  <si>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</si>
  <si>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</si>
  <si>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</si>
  <si>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</si>
  <si>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</si>
  <si>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</si>
  <si>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</si>
  <si>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</si>
  <si>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Param10</t>
  </si>
  <si>
    <t>SMA(Int32)</t>
  </si>
  <si>
    <t>BarsInProgress</t>
  </si>
  <si>
    <t>Int32 period</t>
  </si>
  <si>
    <t>SMA(NinjaTrader.NinjaScript.ISeries`1[System.Double],Int32)</t>
  </si>
  <si>
    <t>ISeries</t>
  </si>
  <si>
    <t>NinjaTrader.NinjaScript.ISeries`1[System.Double] input</t>
  </si>
  <si>
    <t>StdDev(Int32)</t>
  </si>
  <si>
    <t>StdDev(NinjaTrader.NinjaScript.ISeries`1[System.Double],Int32)</t>
  </si>
  <si>
    <t>StdError(Int32)</t>
  </si>
  <si>
    <t>StdError(NinjaTrader.NinjaScript.ISeries`1[System.Double],Int32)</t>
  </si>
  <si>
    <t>Stochastics(Int32,Int32,Int32)</t>
  </si>
  <si>
    <t>Int32 periodD</t>
  </si>
  <si>
    <t>Int32 periodK</t>
  </si>
  <si>
    <t>Int32 smooth</t>
  </si>
  <si>
    <t>Stochastics(NinjaTrader.NinjaScript.ISeries`1[System.Double],Int32,Int32,Int32)</t>
  </si>
  <si>
    <t>StochasticsFast(Int32,Int32)</t>
  </si>
  <si>
    <t>StochasticsFast(NinjaTrader.NinjaScript.ISeries`1[System.Double],Int32,Int32)</t>
  </si>
  <si>
    <t>StochRSI(Int32)</t>
  </si>
  <si>
    <t>StochRSI(NinjaTrader.NinjaScript.ISeries`1[System.Double],Int32)</t>
  </si>
  <si>
    <t>SUM(Int32)</t>
  </si>
  <si>
    <t>SUM(NinjaTrader.NinjaScript.ISeries`1[System.Double],Int32)</t>
  </si>
  <si>
    <t>Swing(Int32)</t>
  </si>
  <si>
    <t>Int32 strength</t>
  </si>
  <si>
    <t>Swing(NinjaTrader.NinjaScript.ISeries`1[System.Double],Int32)</t>
  </si>
  <si>
    <t>T3(Int32,Int32,Double)</t>
  </si>
  <si>
    <t>Int32 tCount</t>
  </si>
  <si>
    <t>Double vFactor</t>
  </si>
  <si>
    <t>T3(NinjaTrader.NinjaScript.ISeries`1[System.Double],Int32,Int32,Double)</t>
  </si>
  <si>
    <t>TEMA(Int32)</t>
  </si>
  <si>
    <t>TEMA(NinjaTrader.NinjaScript.ISeries`1[System.Double],Int32)</t>
  </si>
  <si>
    <t>TickCounter(Boolean,Boolean)</t>
  </si>
  <si>
    <t>Boolean countDown</t>
  </si>
  <si>
    <t>Boolean showPercent</t>
  </si>
  <si>
    <t>TickCounter(NinjaTrader.NinjaScript.ISeries`1[System.Double],Boolean,Boolean)</t>
  </si>
  <si>
    <t>TMA(Int32)</t>
  </si>
  <si>
    <t>TMA(NinjaTrader.NinjaScript.ISeries`1[System.Double],Int32)</t>
  </si>
  <si>
    <t>TRIX(Int32,Int32)</t>
  </si>
  <si>
    <t>Int32 signalPeriod</t>
  </si>
  <si>
    <t>TRIX(NinjaTrader.NinjaScript.ISeries`1[System.Double],Int32,Int32)</t>
  </si>
  <si>
    <t>TSF(Int32,Int32)</t>
  </si>
  <si>
    <t>Int32 forecast</t>
  </si>
  <si>
    <t>TSF(NinjaTrader.NinjaScript.ISeries`1[System.Double],Int32,Int32)</t>
  </si>
  <si>
    <t>TSI(Int32,Int32)</t>
  </si>
  <si>
    <t>Int32 fast</t>
  </si>
  <si>
    <t>Int32 slow</t>
  </si>
  <si>
    <t>TSI(NinjaTrader.NinjaScript.ISeries`1[System.Double],Int32,Int32)</t>
  </si>
  <si>
    <t>UltimateOscillator(Int32,Int32,Int32)</t>
  </si>
  <si>
    <t>Int32 intermediate</t>
  </si>
  <si>
    <t>UltimateOscillator(NinjaTrader.NinjaScript.ISeries`1[System.Double],Int32,Int32,Int32)</t>
  </si>
  <si>
    <t>VMA(Int32,Int32)</t>
  </si>
  <si>
    <t>Int32 volatilityPeriod</t>
  </si>
  <si>
    <t>VMA(NinjaTrader.NinjaScript.ISeries`1[System.Double],Int32,Int32)</t>
  </si>
  <si>
    <t>VOL()</t>
  </si>
  <si>
    <t>null</t>
  </si>
  <si>
    <t>VOL(NinjaTrader.NinjaScript.ISeries`1[System.Double])</t>
  </si>
  <si>
    <t>VOLMA(Int32)</t>
  </si>
  <si>
    <t>VOLMA(NinjaTrader.NinjaScript.ISeries`1[System.Double],Int32)</t>
  </si>
  <si>
    <t>VolumeCounter(Boolean,Boolean)</t>
  </si>
  <si>
    <t>VolumeCounter(NinjaTrader.NinjaScript.ISeries`1[System.Double],Boolean,Boolean)</t>
  </si>
  <si>
    <t>VolumeOscillator(Int32,Int32)</t>
  </si>
  <si>
    <t>VolumeOscillator(NinjaTrader.NinjaScript.ISeries`1[System.Double],Int32,Int32)</t>
  </si>
  <si>
    <t>VolumeProfile()</t>
  </si>
  <si>
    <t>VolumeProfile(NinjaTrader.NinjaScript.ISeries`1[System.Double])</t>
  </si>
  <si>
    <t>VolumeUpDown()</t>
  </si>
  <si>
    <t>VolumeUpDown(NinjaTrader.NinjaScript.ISeries`1[System.Double])</t>
  </si>
  <si>
    <t>VolumeZones()</t>
  </si>
  <si>
    <t>VolumeZones(NinjaTrader.NinjaScript.ISeries`1[System.Double])</t>
  </si>
  <si>
    <t>VROC(Int32,Int32)</t>
  </si>
  <si>
    <t>VROC(NinjaTrader.NinjaScript.ISeries`1[System.Double],Int32,Int32)</t>
  </si>
  <si>
    <t>VWMA(Int32)</t>
  </si>
  <si>
    <t>VWMA(NinjaTrader.NinjaScript.ISeries`1[System.Double],Int32)</t>
  </si>
  <si>
    <t>WilliamsR(Int32)</t>
  </si>
  <si>
    <t>WilliamsR(NinjaTrader.NinjaScript.ISeries`1[System.Double],Int32)</t>
  </si>
  <si>
    <t>WMA(Int32)</t>
  </si>
  <si>
    <t>WMA(NinjaTrader.NinjaScript.ISeries`1[System.Double],Int32)</t>
  </si>
  <si>
    <t>ZigZag(DeviationType,Double,Boolean)</t>
  </si>
  <si>
    <t>DeviationType deviationType</t>
  </si>
  <si>
    <t>Double deviationValue</t>
  </si>
  <si>
    <t>Boolean useHighLow</t>
  </si>
  <si>
    <t>ZigZag(NinjaTrader.NinjaScript.ISeries`1[System.Double],DeviationType,Double,Boolean)</t>
  </si>
  <si>
    <t>ZLEMA(Int32)</t>
  </si>
  <si>
    <t>ZLEMA(NinjaTrader.NinjaScript.ISeries`1[System.Double],Int32)</t>
  </si>
  <si>
    <t>WoodiesCCI(Int32,Int32,Int32,Int32,Int32,Int32,Int32,Int32,Int32)</t>
  </si>
  <si>
    <t>Int32 chopIndicatorWidth</t>
  </si>
  <si>
    <t>Int32 neutralBars</t>
  </si>
  <si>
    <t>Int32 periodEma</t>
  </si>
  <si>
    <t>Int32 periodLinReg</t>
  </si>
  <si>
    <t>Int32 periodTurbo</t>
  </si>
  <si>
    <t>Int32 sideWinderLimit0</t>
  </si>
  <si>
    <t>Int32 sideWinderLimit1</t>
  </si>
  <si>
    <t>Int32 sideWinderWidth</t>
  </si>
  <si>
    <t>WoodiesCCI(NinjaTrader.NinjaScript.ISeries`1[System.Double],Int32,Int32,Int32,Int32,Int32,Int32,Int32,Int32,Int32)</t>
  </si>
  <si>
    <t>WoodiesPivots(NinjaTrader.NinjaScript.Indicators.HLCCalculationModeWoodie,Int32)</t>
  </si>
  <si>
    <t>NinjaTrader.NinjaScript.Indicators.HLCCalculationModeWoodie priorDayHlc</t>
  </si>
  <si>
    <t>Int32 width</t>
  </si>
  <si>
    <t>WoodiesPivots(NinjaTrader.NinjaScript.ISeries`1[System.Double],NinjaTrader.NinjaScript.Indicators.HLCCalculationModeWoodie,Int32)</t>
  </si>
  <si>
    <t>ADL()</t>
  </si>
  <si>
    <t>ADL(NinjaTrader.NinjaScript.ISeries`1[System.Double])</t>
  </si>
  <si>
    <t>ADX(Int32)</t>
  </si>
  <si>
    <t>ADX(NinjaTrader.NinjaScript.ISeries`1[System.Double],Int32)</t>
  </si>
  <si>
    <t>ADXR(Int32,Int32)</t>
  </si>
  <si>
    <t>Int32 interval</t>
  </si>
  <si>
    <t>ADXR(NinjaTrader.NinjaScript.ISeries`1[System.Double],Int32,Int32)</t>
  </si>
  <si>
    <t>APZ(Double,Int32)</t>
  </si>
  <si>
    <t>Double bandPct</t>
  </si>
  <si>
    <t>APZ(NinjaTrader.NinjaScript.ISeries`1[System.Double],Double,Int32)</t>
  </si>
  <si>
    <t>Aroon(Int32)</t>
  </si>
  <si>
    <t>Aroon(NinjaTrader.NinjaScript.ISeries`1[System.Double],Int32)</t>
  </si>
  <si>
    <t>AroonOscillator(Int32)</t>
  </si>
  <si>
    <t>AroonOscillator(NinjaTrader.NinjaScript.ISeries`1[System.Double],Int32)</t>
  </si>
  <si>
    <t>ATR(Int32)</t>
  </si>
  <si>
    <t>ATR(NinjaTrader.NinjaScript.ISeries`1[System.Double],Int32)</t>
  </si>
  <si>
    <t>BarTimer()</t>
  </si>
  <si>
    <t>BarTimer(NinjaTrader.NinjaScript.ISeries`1[System.Double])</t>
  </si>
  <si>
    <t>Bollinger(Double,Int32)</t>
  </si>
  <si>
    <t>Double numStdDev</t>
  </si>
  <si>
    <t>Bollinger(NinjaTrader.NinjaScript.ISeries`1[System.Double],Double,Int32)</t>
  </si>
  <si>
    <t>BOP(Int32)</t>
  </si>
  <si>
    <t>BOP(NinjaTrader.NinjaScript.ISeries`1[System.Double],Int32)</t>
  </si>
  <si>
    <t>BuySellPressure()</t>
  </si>
  <si>
    <t>BuySellPressure(NinjaTrader.NinjaScript.ISeries`1[System.Double])</t>
  </si>
  <si>
    <t>BuySellVolume()</t>
  </si>
  <si>
    <t>BuySellVolume(NinjaTrader.NinjaScript.ISeries`1[System.Double])</t>
  </si>
  <si>
    <t>CandlestickPattern(ChartPattern,Int32)</t>
  </si>
  <si>
    <t>ChartPattern pattern</t>
  </si>
  <si>
    <t>Int32 trendStrength</t>
  </si>
  <si>
    <t>CandlestickPattern(NinjaTrader.NinjaScript.ISeries`1[System.Double],ChartPattern,Int32)</t>
  </si>
  <si>
    <t>CCI(Int32)</t>
  </si>
  <si>
    <t>CCI(NinjaTrader.NinjaScript.ISeries`1[System.Double],Int32)</t>
  </si>
  <si>
    <t>ChaikinMoneyFlow(Int32)</t>
  </si>
  <si>
    <t>ChaikinMoneyFlow(NinjaTrader.NinjaScript.ISeries`1[System.Double],Int32)</t>
  </si>
  <si>
    <t>ChaikinOscillator(Int32,Int32)</t>
  </si>
  <si>
    <t>ChaikinOscillator(NinjaTrader.NinjaScript.ISeries`1[System.Double],Int32,Int32)</t>
  </si>
  <si>
    <t>ChaikinVolatility(Int32,Int32)</t>
  </si>
  <si>
    <t>Int32 mAPeriod</t>
  </si>
  <si>
    <t>Int32 rOCPeriod</t>
  </si>
  <si>
    <t>ChaikinVolatility(NinjaTrader.NinjaScript.ISeries`1[System.Double],Int32,Int32)</t>
  </si>
  <si>
    <t>CMO(Int32)</t>
  </si>
  <si>
    <t>CMO(NinjaTrader.NinjaScript.ISeries`1[System.Double],Int32)</t>
  </si>
  <si>
    <t>ConstantLines(Double,Double,Double,Double)</t>
  </si>
  <si>
    <t>Double line1Value</t>
  </si>
  <si>
    <t>Double line2Value</t>
  </si>
  <si>
    <t>Double line3Value</t>
  </si>
  <si>
    <t>Double line4Value</t>
  </si>
  <si>
    <t>ConstantLines(NinjaTrader.NinjaScript.ISeries`1[System.Double],Double,Double,Double,Double)</t>
  </si>
  <si>
    <t>CurrentDayOHL()</t>
  </si>
  <si>
    <t>CurrentDayOHL(NinjaTrader.NinjaScript.ISeries`1[System.Double])</t>
  </si>
  <si>
    <t>Darvas()</t>
  </si>
  <si>
    <t>Darvas(NinjaTrader.NinjaScript.ISeries`1[System.Double])</t>
  </si>
  <si>
    <t>DEMA(Int32)</t>
  </si>
  <si>
    <t>DEMA(NinjaTrader.NinjaScript.ISeries`1[System.Double],Int32)</t>
  </si>
  <si>
    <t>DM(Int32)</t>
  </si>
  <si>
    <t>DM(NinjaTrader.NinjaScript.ISeries`1[System.Double],Int32)</t>
  </si>
  <si>
    <t>DMI(Int32)</t>
  </si>
  <si>
    <t>DMI(NinjaTrader.NinjaScript.ISeries`1[System.Double],Int32)</t>
  </si>
  <si>
    <t>DMIndex(Int32)</t>
  </si>
  <si>
    <t>DMIndex(NinjaTrader.NinjaScript.ISeries`1[System.Double],Int32)</t>
  </si>
  <si>
    <t>DonchianChannel(Int32)</t>
  </si>
  <si>
    <t>DonchianChannel(NinjaTrader.NinjaScript.ISeries`1[System.Double],Int32)</t>
  </si>
  <si>
    <t>DoubleStochastics(Int32)</t>
  </si>
  <si>
    <t>DoubleStochastics(NinjaTrader.NinjaScript.ISeries`1[System.Double],Int32)</t>
  </si>
  <si>
    <t>EaseOfMovement(Int32,Int32)</t>
  </si>
  <si>
    <t>Int32 smoothing</t>
  </si>
  <si>
    <t>Int32 volumeDivisor</t>
  </si>
  <si>
    <t>EaseOfMovement(NinjaTrader.NinjaScript.ISeries`1[System.Double],Int32,Int32)</t>
  </si>
  <si>
    <t>EMA(Int32)</t>
  </si>
  <si>
    <t>EMA(NinjaTrader.NinjaScript.ISeries`1[System.Double],Int32)</t>
  </si>
  <si>
    <t>FisherTransform(Int32)</t>
  </si>
  <si>
    <t>FisherTransform(NinjaTrader.NinjaScript.ISeries`1[System.Double],Int32)</t>
  </si>
  <si>
    <t>FOSC(Int32)</t>
  </si>
  <si>
    <t>FOSC(NinjaTrader.NinjaScript.ISeries`1[System.Double],Int32)</t>
  </si>
  <si>
    <t>HMA(Int32)</t>
  </si>
  <si>
    <t>HMA(NinjaTrader.NinjaScript.ISeries`1[System.Double],Int32)</t>
  </si>
  <si>
    <t>KAMA(Int32,Int32,Int32)</t>
  </si>
  <si>
    <t>KAMA(NinjaTrader.NinjaScript.ISeries`1[System.Double],Int32,Int32,Int32)</t>
  </si>
  <si>
    <t>KeltnerChannel(Double,Int32)</t>
  </si>
  <si>
    <t>Double offsetMultiplier</t>
  </si>
  <si>
    <t>KeltnerChannel(NinjaTrader.NinjaScript.ISeries`1[System.Double],Double,Int32)</t>
  </si>
  <si>
    <t>KeyReversalDown(Int32)</t>
  </si>
  <si>
    <t>KeyReversalDown(NinjaTrader.NinjaScript.ISeries`1[System.Double],Int32)</t>
  </si>
  <si>
    <t>KeyReversalUp(Int32)</t>
  </si>
  <si>
    <t>KeyReversalUp(NinjaTrader.NinjaScript.ISeries`1[System.Double],Int32)</t>
  </si>
  <si>
    <t>LinReg(Int32)</t>
  </si>
  <si>
    <t>LinReg(NinjaTrader.NinjaScript.ISeries`1[System.Double],Int32)</t>
  </si>
  <si>
    <t>LinRegIntercept(Int32)</t>
  </si>
  <si>
    <t>LinRegIntercept(NinjaTrader.NinjaScript.ISeries`1[System.Double],Int32)</t>
  </si>
  <si>
    <t>LinRegSlope(Int32)</t>
  </si>
  <si>
    <t>LinRegSlope(NinjaTrader.NinjaScript.ISeries`1[System.Double],Int32)</t>
  </si>
  <si>
    <t>MACD(Int32,Int32,Int32)</t>
  </si>
  <si>
    <t>MACD(NinjaTrader.NinjaScript.ISeries`1[System.Double],Int32,Int32,Int32)</t>
  </si>
  <si>
    <t>MAEnvelopes(Double,Int32,Int32)</t>
  </si>
  <si>
    <t>Double envelopePercentage</t>
  </si>
  <si>
    <t>Int32 mAType</t>
  </si>
  <si>
    <t>MAEnvelopes(NinjaTrader.NinjaScript.ISeries`1[System.Double],Double,Int32,Int32)</t>
  </si>
  <si>
    <t>MAMA(Double,Double)</t>
  </si>
  <si>
    <t>Double fastLimit</t>
  </si>
  <si>
    <t>Double slowLimit</t>
  </si>
  <si>
    <t>MAMA(NinjaTrader.NinjaScript.ISeries`1[System.Double],Double,Double)</t>
  </si>
  <si>
    <t>MAX(Int32)</t>
  </si>
  <si>
    <t>MAX(NinjaTrader.NinjaScript.ISeries`1[System.Double],Int32)</t>
  </si>
  <si>
    <t>MFI(Int32)</t>
  </si>
  <si>
    <t>MFI(NinjaTrader.NinjaScript.ISeries`1[System.Double],Int32)</t>
  </si>
  <si>
    <t>MIN(Int32)</t>
  </si>
  <si>
    <t>MIN(NinjaTrader.NinjaScript.ISeries`1[System.Double],Int32)</t>
  </si>
  <si>
    <t>Momentum(Int32)</t>
  </si>
  <si>
    <t>Momentum(NinjaTrader.NinjaScript.ISeries`1[System.Double],Int32)</t>
  </si>
  <si>
    <t>NBarsDown(Int32,Boolean,Boolean,Boolean)</t>
  </si>
  <si>
    <t>Int32 barCount</t>
  </si>
  <si>
    <t>Boolean barDown</t>
  </si>
  <si>
    <t>Boolean lowerHigh</t>
  </si>
  <si>
    <t>Boolean lowerLow</t>
  </si>
  <si>
    <t>NBarsDown(NinjaTrader.NinjaScript.ISeries`1[System.Double],Int32,Boolean,Boolean,Boolean)</t>
  </si>
  <si>
    <t>NBarsUp(Int32,Boolean,Boolean,Boolean)</t>
  </si>
  <si>
    <t>Boolean barUp</t>
  </si>
  <si>
    <t>Boolean higherHigh</t>
  </si>
  <si>
    <t>Boolean higherLow</t>
  </si>
  <si>
    <t>NBarsUp(NinjaTrader.NinjaScript.ISeries`1[System.Double],Int32,Boolean,Boolean,Boolean)</t>
  </si>
  <si>
    <t>OBV()</t>
  </si>
  <si>
    <t>OBV(NinjaTrader.NinjaScript.ISeries`1[System.Double])</t>
  </si>
  <si>
    <t>ParabolicSAR(Double,Double,Double)</t>
  </si>
  <si>
    <t>Double acceleration</t>
  </si>
  <si>
    <t>Double accelerationMax</t>
  </si>
  <si>
    <t>Double accelerationStep</t>
  </si>
  <si>
    <t>ParabolicSAR(NinjaTrader.NinjaScript.ISeries`1[System.Double],Double,Double,Double)</t>
  </si>
  <si>
    <t>PFE(Int32,Int32)</t>
  </si>
  <si>
    <t>PFE(NinjaTrader.NinjaScript.ISeries`1[System.Double],Int32,Int32)</t>
  </si>
  <si>
    <t>Pivots(NinjaTrader.NinjaScript.Indicators.PivotRange,NinjaTrader.NinjaScript.Indicators.HLCCalculationMode,Double,Double,Double,Int32)</t>
  </si>
  <si>
    <t>NinjaTrader.NinjaScript.Indicators.PivotRange pivotRangeType</t>
  </si>
  <si>
    <t>NinjaTrader.NinjaScript.Indicators.HLCCalculationMode priorDayHlc</t>
  </si>
  <si>
    <t>Double userDefinedClose</t>
  </si>
  <si>
    <t>Double userDefinedHigh</t>
  </si>
  <si>
    <t>Double userDefinedLow</t>
  </si>
  <si>
    <t>Pivots(NinjaTrader.NinjaScript.ISeries`1[System.Double],NinjaTrader.NinjaScript.Indicators.PivotRange,NinjaTrader.NinjaScript.Indicators.HLCCalculationMode,Double,Double,Double,Int32)</t>
  </si>
  <si>
    <t>PPO(Int32,Int32,Int32)</t>
  </si>
  <si>
    <t>PPO(NinjaTrader.NinjaScript.ISeries`1[System.Double],Int32,Int32,Int32)</t>
  </si>
  <si>
    <t>PriceOscillator(Int32,Int32,Int32)</t>
  </si>
  <si>
    <t>PriceOscillator(NinjaTrader.NinjaScript.ISeries`1[System.Double],Int32,Int32,Int32)</t>
  </si>
  <si>
    <t>PriorDayOHLC()</t>
  </si>
  <si>
    <t>PriorDayOHLC(NinjaTrader.NinjaScript.ISeries`1[System.Double])</t>
  </si>
  <si>
    <t>Range()</t>
  </si>
  <si>
    <t>Range(NinjaTrader.NinjaScript.ISeries`1[System.Double])</t>
  </si>
  <si>
    <t>RangeCounter(Boolean)</t>
  </si>
  <si>
    <t>RangeCounter(NinjaTrader.NinjaScript.ISeries`1[System.Double],Boolean)</t>
  </si>
  <si>
    <t>RegressionChannel(Int32,Double)</t>
  </si>
  <si>
    <t>Double width</t>
  </si>
  <si>
    <t>RegressionChannel(NinjaTrader.NinjaScript.ISeries`1[System.Double],Int32,Double)</t>
  </si>
  <si>
    <t>RIND(Int32,Int32)</t>
  </si>
  <si>
    <t>Int32 periodQ</t>
  </si>
  <si>
    <t>RIND(NinjaTrader.NinjaScript.ISeries`1[System.Double],Int32,Int32)</t>
  </si>
  <si>
    <t>ROC(Int32)</t>
  </si>
  <si>
    <t>ROC(NinjaTrader.NinjaScript.ISeries`1[System.Double],Int32)</t>
  </si>
  <si>
    <t>RSI(Int32,Int32)</t>
  </si>
  <si>
    <t>RSI(NinjaTrader.NinjaScript.ISeries`1[System.Double],Int32,Int32)</t>
  </si>
  <si>
    <t>RSquared(Int32)</t>
  </si>
  <si>
    <t>RSquared(NinjaTrader.NinjaScript.ISeries`1[System.Double],Int32)</t>
  </si>
  <si>
    <t>RSS(Int32,Int32,Int32)</t>
  </si>
  <si>
    <t>Int32 eMA1</t>
  </si>
  <si>
    <t>Int32 eMA2</t>
  </si>
  <si>
    <t>Int32 length</t>
  </si>
  <si>
    <t>RSS(NinjaTrader.NinjaScript.ISeries`1[System.Double],Int32,Int32,Int32)</t>
  </si>
  <si>
    <t>RVI(Int32)</t>
  </si>
  <si>
    <t>RVI(NinjaTrader.NinjaScript.ISeries`1[System.Double],Int32)</t>
  </si>
  <si>
    <t>Property1</t>
  </si>
  <si>
    <t>Property2</t>
  </si>
  <si>
    <t>Property3</t>
  </si>
  <si>
    <t>Property4</t>
  </si>
  <si>
    <t>Property5</t>
  </si>
  <si>
    <t>Property6</t>
  </si>
  <si>
    <t>if (p_PropertyName == "</t>
  </si>
  <si>
    <t>") { return (myIndicatorType.</t>
  </si>
  <si>
    <t>[p_BarsAgo]); }</t>
  </si>
  <si>
    <t>F</t>
  </si>
  <si>
    <t>V</t>
  </si>
  <si>
    <t xml:space="preserve">
INDICATOR_LIST</t>
  </si>
  <si>
    <t>INDICATOR_PARAM_LIST</t>
  </si>
  <si>
    <t>period</t>
  </si>
  <si>
    <t/>
  </si>
  <si>
    <t>input</t>
  </si>
  <si>
    <t>Upper</t>
  </si>
  <si>
    <t>Lower</t>
  </si>
  <si>
    <t>if (p_PropertyName == "Upper") { return (myIndicatorType.Upper[p_BarsAgo]); }if (p_PropertyName == "Lower") { return (myIndicatorType.Lower[p_BarsAgo]); }</t>
  </si>
  <si>
    <t>periodD</t>
  </si>
  <si>
    <t>periodK</t>
  </si>
  <si>
    <t>smooth</t>
  </si>
  <si>
    <t>D</t>
  </si>
  <si>
    <t>K</t>
  </si>
  <si>
    <t>if (p_PropertyName == "D") { return (myIndicatorType.D[p_BarsAgo]); }if (p_PropertyName == "K") { return (myIndicatorType.K[p_BarsAgo]); }</t>
  </si>
  <si>
    <t>strength</t>
  </si>
  <si>
    <t>SwingHigh</t>
  </si>
  <si>
    <t>SwingLow</t>
  </si>
  <si>
    <t>if (p_PropertyName == "SwingHigh") { return (myIndicatorType.SwingHigh[p_BarsAgo]); }if (p_PropertyName == "SwingLow") { return (myIndicatorType.SwingLow[p_BarsAgo]); }</t>
  </si>
  <si>
    <t>SwingHighBar</t>
  </si>
  <si>
    <t>SwingLowBar</t>
  </si>
  <si>
    <t>tCount</t>
  </si>
  <si>
    <t>vFactor</t>
  </si>
  <si>
    <t>countDown</t>
  </si>
  <si>
    <t>showPercent</t>
  </si>
  <si>
    <t>signalPeriod</t>
  </si>
  <si>
    <t>Signal</t>
  </si>
  <si>
    <t>if (p_PropertyName == "Signal") { return (myIndicatorType.Signal[p_BarsAgo]); }</t>
  </si>
  <si>
    <t>forecast</t>
  </si>
  <si>
    <t>fast</t>
  </si>
  <si>
    <t>slow</t>
  </si>
  <si>
    <t>intermediate</t>
  </si>
  <si>
    <t>volatilityPeriod</t>
  </si>
  <si>
    <t>deviationType</t>
  </si>
  <si>
    <t>deviationValue</t>
  </si>
  <si>
    <t>useHighLow</t>
  </si>
  <si>
    <t>ZigZagHigh</t>
  </si>
  <si>
    <t>ZigZagLow</t>
  </si>
  <si>
    <t>if (p_PropertyName == "ZigZagHigh") { return (myIndicatorType.ZigZagHigh[p_BarsAgo]); }if (p_PropertyName == "ZigZagLow") { return (myIndicatorType.ZigZagLow[p_BarsAgo]); }</t>
  </si>
  <si>
    <t>chopIndicatorWidth</t>
  </si>
  <si>
    <t>neutralBars</t>
  </si>
  <si>
    <t>periodEma</t>
  </si>
  <si>
    <t>periodLinReg</t>
  </si>
  <si>
    <t>periodTurbo</t>
  </si>
  <si>
    <t>sideWinderLimit0</t>
  </si>
  <si>
    <t>sideWinderLimit1</t>
  </si>
  <si>
    <t>sideWinderWidth</t>
  </si>
  <si>
    <t>Turbo</t>
  </si>
  <si>
    <t>ZoneBars</t>
  </si>
  <si>
    <t>ChopZone</t>
  </si>
  <si>
    <t>Sidewinder</t>
  </si>
  <si>
    <t>if (p_PropertyName == "Turbo") { return (myIndicatorType.Turbo[p_BarsAgo]); }if (p_PropertyName == "ZoneBars") { return (myIndicatorType.ZoneBars[p_BarsAgo]); }if (p_PropertyName == "ChopZone") { return (myIndicatorType.ChopZone[p_BarsAgo]); }if (p_PropertyName == "Sidewinder") { return (myIndicatorType.Sidewinder[p_BarsAgo]); }</t>
  </si>
  <si>
    <t>priorDayHlc</t>
  </si>
  <si>
    <t>width</t>
  </si>
  <si>
    <t>R1</t>
  </si>
  <si>
    <t>R2</t>
  </si>
  <si>
    <t>S1</t>
  </si>
  <si>
    <t>S2</t>
  </si>
  <si>
    <t>if (p_PropertyName == "R1") { return (myIndicatorType.R1[p_BarsAgo]); }if (p_PropertyName == "R2") { return (myIndicatorType.R2[p_BarsAgo]); }if (p_PropertyName == "S1") { return (myIndicatorType.S1[p_BarsAgo]); }if (p_PropertyName == "S2") { return (myIndicatorType.S2[p_BarsAgo]); }</t>
  </si>
  <si>
    <t>interval</t>
  </si>
  <si>
    <t>bandPct</t>
  </si>
  <si>
    <t>Up</t>
  </si>
  <si>
    <t>Down</t>
  </si>
  <si>
    <t>if (p_PropertyName == "Up") { return (myIndicatorType.Up[p_BarsAgo]); }if (p_PropertyName == "Down") { return (myIndicatorType.Down[p_BarsAgo]); }</t>
  </si>
  <si>
    <t>numStdDev</t>
  </si>
  <si>
    <t>BuyPressure</t>
  </si>
  <si>
    <t>SellPressure</t>
  </si>
  <si>
    <t>if (p_PropertyName == "BuyPressure") { return (myIndicatorType.BuyPressure[p_BarsAgo]); }if (p_PropertyName == "SellPressure") { return (myIndicatorType.SellPressure[p_BarsAgo]); }</t>
  </si>
  <si>
    <t>Buys</t>
  </si>
  <si>
    <t>Sells</t>
  </si>
  <si>
    <t>if (p_PropertyName == "Buys") { return (myIndicatorType.Buys[p_BarsAgo]); }if (p_PropertyName == "Sells") { return (myIndicatorType.Sells[p_BarsAgo]); }</t>
  </si>
  <si>
    <t>pattern</t>
  </si>
  <si>
    <t>trendStrength</t>
  </si>
  <si>
    <t>mAPeriod</t>
  </si>
  <si>
    <t>rOCPeriod</t>
  </si>
  <si>
    <t>line1Value</t>
  </si>
  <si>
    <t>line2Value</t>
  </si>
  <si>
    <t>line3Value</t>
  </si>
  <si>
    <t>line4Value</t>
  </si>
  <si>
    <t>CurrentOpen</t>
  </si>
  <si>
    <t>CurrentHigh</t>
  </si>
  <si>
    <t>CurrentLow</t>
  </si>
  <si>
    <t>if (p_PropertyName == "CurrentOpen") { return (myIndicatorType.CurrentOpen[p_BarsAgo]); }if (p_PropertyName == "CurrentHigh") { return (myIndicatorType.CurrentHigh[p_BarsAgo]); }if (p_PropertyName == "CurrentLow") { return (myIndicatorType.CurrentLow[p_BarsAgo]); }</t>
  </si>
  <si>
    <t>DiPlus</t>
  </si>
  <si>
    <t>DiMinus</t>
  </si>
  <si>
    <t>if (p_PropertyName == "DiPlus") { return (myIndicatorType.DiPlus[p_BarsAgo]); }if (p_PropertyName == "DiMinus") { return (myIndicatorType.DiMinus[p_BarsAgo]); }</t>
  </si>
  <si>
    <t>if (p_PropertyName == "K") { return (myIndicatorType.K[p_BarsAgo]); }</t>
  </si>
  <si>
    <t>smoothing</t>
  </si>
  <si>
    <t>volumeDivisor</t>
  </si>
  <si>
    <t>offsetMultiplier</t>
  </si>
  <si>
    <t>Diff</t>
  </si>
  <si>
    <t>Avg</t>
  </si>
  <si>
    <t>if (p_PropertyName == "Diff") { return (myIndicatorType.Diff[p_BarsAgo]); }if (p_PropertyName == "Avg") { return (myIndicatorType.Avg[p_BarsAgo]); }</t>
  </si>
  <si>
    <t>envelopePercentage</t>
  </si>
  <si>
    <t>mAType</t>
  </si>
  <si>
    <t>Middle</t>
  </si>
  <si>
    <t>if (p_PropertyName == "Upper") { return (myIndicatorType.Upper[p_BarsAgo]); }if (p_PropertyName == "Middle") { return (myIndicatorType.Middle[p_BarsAgo]); }if (p_PropertyName == "Lower") { return (myIndicatorType.Lower[p_BarsAgo]); }</t>
  </si>
  <si>
    <t>fastLimit</t>
  </si>
  <si>
    <t>slowLimit</t>
  </si>
  <si>
    <t>Fama</t>
  </si>
  <si>
    <t>if (p_PropertyName == "Fama") { return (myIndicatorType.Fama[p_BarsAgo]); }</t>
  </si>
  <si>
    <t>barCount</t>
  </si>
  <si>
    <t>barDown</t>
  </si>
  <si>
    <t>lowerHigh</t>
  </si>
  <si>
    <t>lowerLow</t>
  </si>
  <si>
    <t>barUp</t>
  </si>
  <si>
    <t>higherHigh</t>
  </si>
  <si>
    <t>higherLow</t>
  </si>
  <si>
    <t>acceleration</t>
  </si>
  <si>
    <t>accelerationMax</t>
  </si>
  <si>
    <t>accelerationStep</t>
  </si>
  <si>
    <t>pivotRangeType</t>
  </si>
  <si>
    <t>userDefinedClose</t>
  </si>
  <si>
    <t>userDefinedHigh</t>
  </si>
  <si>
    <t>userDefinedLow</t>
  </si>
  <si>
    <t>R3</t>
  </si>
  <si>
    <t>S3</t>
  </si>
  <si>
    <t>if (p_PropertyName == "R1") { return (myIndicatorType.R1[p_BarsAgo]); }if (p_PropertyName == "R2") { return (myIndicatorType.R2[p_BarsAgo]); }if (p_PropertyName == "R3") { return (myIndicatorType.R3[p_BarsAgo]); }if (p_PropertyName == "S1") { return (myIndicatorType.S1[p_BarsAgo]); }if (p_PropertyName == "S2") { return (myIndicatorType.S2[p_BarsAgo]); }</t>
  </si>
  <si>
    <t>Smoothed</t>
  </si>
  <si>
    <t>if (p_PropertyName == "Smoothed") { return (myIndicatorType.Smoothed[p_BarsAgo]); }</t>
  </si>
  <si>
    <t>PriorOpen</t>
  </si>
  <si>
    <t>PriorHigh</t>
  </si>
  <si>
    <t>PriorLow</t>
  </si>
  <si>
    <t>PriorClose</t>
  </si>
  <si>
    <t>if (p_PropertyName == "PriorOpen") { return (myIndicatorType.PriorOpen[p_BarsAgo]); }if (p_PropertyName == "PriorHigh") { return (myIndicatorType.PriorHigh[p_BarsAgo]); }if (p_PropertyName == "PriorLow") { return (myIndicatorType.PriorLow[p_BarsAgo]); }if (p_PropertyName == "PriorClose") { return (myIndicatorType.PriorClose[p_BarsAgo]); }</t>
  </si>
  <si>
    <t>periodQ</t>
  </si>
  <si>
    <t>if (p_PropertyName == "Avg") { return (myIndicatorType.Avg[p_BarsAgo]); }</t>
  </si>
  <si>
    <t>eMA1</t>
  </si>
  <si>
    <t>eMA2</t>
  </si>
  <si>
    <t>length</t>
  </si>
  <si>
    <t>PARAM</t>
  </si>
  <si>
    <t>PasteCode</t>
  </si>
  <si>
    <t>FormulaCode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</si>
  <si>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</si>
  <si>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</si>
  <si>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</si>
  <si>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</si>
  <si>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</si>
  <si>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</si>
  <si>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</si>
  <si>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</si>
  <si>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</si>
  <si>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</si>
  <si>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</si>
  <si>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</si>
  <si>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</si>
  <si>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</si>
  <si>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</si>
  <si>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</si>
  <si>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</si>
  <si>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</si>
  <si>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</si>
  <si>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</si>
  <si>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[2,3,5,8,13,21,34,55,89,144]</t>
  </si>
</sst>
</file>

<file path=xl/styles.xml><?xml version="1.0" encoding="utf-8"?>
<styleSheet xmlns="http://schemas.openxmlformats.org/spreadsheetml/2006/main">
  <numFmts count="4">
    <numFmt numFmtId="176" formatCode="_ * #,##0.00_ ;_ * \-#,##0.00_ ;_ * &quot;-&quot;??_ ;_ @_ "/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77" formatCode="_ * #,##0_ ;_ * \-#,##0_ ;_ * &quot;-&quot;_ ;_ @_ "/>
  </numFmts>
  <fonts count="21">
    <font>
      <sz val="11"/>
      <color theme="1"/>
      <name val="宋体"/>
      <charset val="134"/>
      <scheme val="minor"/>
    </font>
    <font>
      <sz val="11"/>
      <color rgb="FFFA7D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0" fontId="2" fillId="20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0" fillId="31" borderId="3" applyNumberFormat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6" fillId="7" borderId="3" applyNumberFormat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12" borderId="6" applyNumberFormat="0" applyAlignment="0" applyProtection="0">
      <alignment vertical="center"/>
    </xf>
    <xf numFmtId="0" fontId="10" fillId="7" borderId="5" applyNumberFormat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176" fontId="5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5" fillId="30" borderId="8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177" fontId="5" fillId="0" borderId="0" applyFont="0" applyFill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1" fillId="0" borderId="1" applyNumberFormat="0" applyFill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</cellXfs>
  <cellStyles count="49">
    <cellStyle name="常规" xfId="0" builtinId="0"/>
    <cellStyle name="60% - 强调文字颜色 6" xfId="1" builtinId="52"/>
    <cellStyle name="20% - 强调文字颜色 4" xfId="2" builtinId="42"/>
    <cellStyle name="强调文字颜色 4" xfId="3" builtinId="41"/>
    <cellStyle name="输入" xfId="4" builtinId="20"/>
    <cellStyle name="40% - 强调文字颜色 3" xfId="5" builtinId="39"/>
    <cellStyle name="20% - 强调文字颜色 3" xfId="6" builtinId="38"/>
    <cellStyle name="货币" xfId="7" builtinId="4"/>
    <cellStyle name="强调文字颜色 3" xfId="8" builtinId="37"/>
    <cellStyle name="百分比" xfId="9" builtinId="5"/>
    <cellStyle name="60% - 强调文字颜色 2" xfId="10" builtinId="36"/>
    <cellStyle name="60% - 强调文字颜色 5" xfId="11" builtinId="48"/>
    <cellStyle name="强调文字颜色 2" xfId="12" builtinId="33"/>
    <cellStyle name="60% - 强调文字颜色 1" xfId="13" builtinId="32"/>
    <cellStyle name="60% - 强调文字颜色 4" xfId="14" builtinId="44"/>
    <cellStyle name="计算" xfId="15" builtinId="22"/>
    <cellStyle name="强调文字颜色 1" xfId="16" builtinId="29"/>
    <cellStyle name="适中" xfId="17" builtinId="28"/>
    <cellStyle name="20% - 强调文字颜色 5" xfId="18" builtinId="46"/>
    <cellStyle name="好" xfId="19" builtinId="26"/>
    <cellStyle name="20% - 强调文字颜色 1" xfId="20" builtinId="30"/>
    <cellStyle name="汇总" xfId="21" builtinId="25"/>
    <cellStyle name="差" xfId="22" builtinId="27"/>
    <cellStyle name="检查单元格" xfId="23" builtinId="23"/>
    <cellStyle name="输出" xfId="24" builtinId="21"/>
    <cellStyle name="标题 1" xfId="25" builtinId="16"/>
    <cellStyle name="解释性文本" xfId="26" builtinId="53"/>
    <cellStyle name="20% - 强调文字颜色 2" xfId="27" builtinId="34"/>
    <cellStyle name="标题 4" xfId="28" builtinId="19"/>
    <cellStyle name="货币[0]" xfId="29" builtinId="7"/>
    <cellStyle name="40% - 强调文字颜色 4" xfId="30" builtinId="43"/>
    <cellStyle name="千位分隔" xfId="31" builtinId="3"/>
    <cellStyle name="已访问的超链接" xfId="32" builtinId="9"/>
    <cellStyle name="标题" xfId="33" builtinId="15"/>
    <cellStyle name="40% - 强调文字颜色 2" xfId="34" builtinId="35"/>
    <cellStyle name="警告文本" xfId="35" builtinId="11"/>
    <cellStyle name="60% - 强调文字颜色 3" xfId="36" builtinId="40"/>
    <cellStyle name="注释" xfId="37" builtinId="10"/>
    <cellStyle name="20% - 强调文字颜色 6" xfId="38" builtinId="50"/>
    <cellStyle name="强调文字颜色 5" xfId="39" builtinId="45"/>
    <cellStyle name="40% - 强调文字颜色 6" xfId="40" builtinId="51"/>
    <cellStyle name="超链接" xfId="41" builtinId="8"/>
    <cellStyle name="千位分隔[0]" xfId="42" builtinId="6"/>
    <cellStyle name="标题 2" xfId="43" builtinId="17"/>
    <cellStyle name="40% - 强调文字颜色 5" xfId="44" builtinId="47"/>
    <cellStyle name="标题 3" xfId="45" builtinId="18"/>
    <cellStyle name="强调文字颜色 6" xfId="46" builtinId="49"/>
    <cellStyle name="40% - 强调文字颜色 1" xfId="47" builtinId="31"/>
    <cellStyle name="链接单元格" xfId="48" builtinId="24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4C4C4C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1"/>
  <dimension ref="A1:O193"/>
  <sheetViews>
    <sheetView workbookViewId="0">
      <selection activeCell="E8" sqref="E8"/>
    </sheetView>
  </sheetViews>
  <sheetFormatPr defaultColWidth="9" defaultRowHeight="14.25"/>
  <cols>
    <col min="1" max="1" width="21.5583333333333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3">
      <c r="A2" t="s">
        <v>15</v>
      </c>
      <c r="B2" t="s">
        <v>16</v>
      </c>
      <c r="C2" t="s">
        <v>17</v>
      </c>
      <c r="M2" t="str">
        <f>$N$1&amp;$B2&amp;$O$1&amp;"{var myIndicatorType = p_object as "&amp;A2&amp;";}"</f>
        <v>if (p_object.GetType().ToString().Substring(FindAllIndexOfSubStr(".",p_object.GetType().ToString()).Max()+1)=="SMA"){var myIndicatorType = p_object as NinjaTrader.NinjaScript.Indicators.SMA;}</v>
      </c>
    </row>
    <row r="3" hidden="1" spans="1:4">
      <c r="A3" t="s">
        <v>15</v>
      </c>
      <c r="B3" t="s">
        <v>16</v>
      </c>
      <c r="C3" t="s">
        <v>18</v>
      </c>
      <c r="D3" t="s">
        <v>17</v>
      </c>
    </row>
    <row r="4" spans="1:13">
      <c r="A4" t="s">
        <v>19</v>
      </c>
      <c r="B4" t="s">
        <v>20</v>
      </c>
      <c r="C4" t="s">
        <v>17</v>
      </c>
      <c r="M4" t="str">
        <f>$N$1&amp;$B4&amp;$O$1&amp;"{var myIndicatorType = p_object as "&amp;A4&amp;";}"</f>
        <v>if (p_object.GetType().ToString().Substring(FindAllIndexOfSubStr(".",p_object.GetType().ToString()).Max()+1)=="StdDev"){var myIndicatorType = p_object as NinjaTrader.NinjaScript.Indicators.StdDev;}</v>
      </c>
    </row>
    <row r="5" hidden="1" spans="1:4">
      <c r="A5" t="s">
        <v>19</v>
      </c>
      <c r="B5" t="s">
        <v>20</v>
      </c>
      <c r="C5" t="s">
        <v>18</v>
      </c>
      <c r="D5" t="s">
        <v>17</v>
      </c>
    </row>
    <row r="6" spans="1:13">
      <c r="A6" t="s">
        <v>21</v>
      </c>
      <c r="B6" t="s">
        <v>22</v>
      </c>
      <c r="C6" t="s">
        <v>17</v>
      </c>
      <c r="M6" t="str">
        <f>$N$1&amp;$B6&amp;$O$1&amp;"{var myIndicatorType = p_object as "&amp;A6&amp;";}"</f>
        <v>if (p_object.GetType().ToString().Substring(FindAllIndexOfSubStr(".",p_object.GetType().ToString()).Max()+1)=="StdError"){var myIndicatorType = p_object as NinjaTrader.NinjaScript.Indicators.StdError;}</v>
      </c>
    </row>
    <row r="7" hidden="1" spans="1:4">
      <c r="A7" t="s">
        <v>21</v>
      </c>
      <c r="B7" t="s">
        <v>22</v>
      </c>
      <c r="C7" t="s">
        <v>18</v>
      </c>
      <c r="D7" t="s">
        <v>17</v>
      </c>
    </row>
    <row r="8" spans="1:13">
      <c r="A8" t="s">
        <v>23</v>
      </c>
      <c r="B8" t="s">
        <v>24</v>
      </c>
      <c r="C8" t="s">
        <v>17</v>
      </c>
      <c r="D8" t="s">
        <v>17</v>
      </c>
      <c r="E8" t="s">
        <v>17</v>
      </c>
      <c r="M8" t="str">
        <f>$N$1&amp;$B8&amp;$O$1&amp;"{var myIndicatorType = p_object as "&amp;A8&amp;";}"</f>
        <v>if (p_object.GetType().ToString().Substring(FindAllIndexOfSubStr(".",p_object.GetType().ToString()).Max()+1)=="Stochastics"){var myIndicatorType = p_object as NinjaTrader.NinjaScript.Indicators.Stochastics;}</v>
      </c>
    </row>
    <row r="9" hidden="1" spans="1:6">
      <c r="A9" t="s">
        <v>23</v>
      </c>
      <c r="B9" t="s">
        <v>24</v>
      </c>
      <c r="C9" t="s">
        <v>18</v>
      </c>
      <c r="D9" t="s">
        <v>17</v>
      </c>
      <c r="E9" t="s">
        <v>17</v>
      </c>
      <c r="F9" t="s">
        <v>17</v>
      </c>
    </row>
    <row r="10" spans="1:13">
      <c r="A10" t="s">
        <v>25</v>
      </c>
      <c r="B10" t="s">
        <v>26</v>
      </c>
      <c r="C10" t="s">
        <v>17</v>
      </c>
      <c r="D10" t="s">
        <v>17</v>
      </c>
      <c r="M10" t="str">
        <f>$N$1&amp;$B10&amp;$O$1&amp;"{var myIndicatorType = p_object as "&amp;A10&amp;";}"</f>
        <v>if (p_object.GetType().ToString().Substring(FindAllIndexOfSubStr(".",p_object.GetType().ToString()).Max()+1)=="StochasticsFast"){var myIndicatorType = p_object as NinjaTrader.NinjaScript.Indicators.StochasticsFast;}</v>
      </c>
    </row>
    <row r="11" hidden="1" spans="1:5">
      <c r="A11" t="s">
        <v>25</v>
      </c>
      <c r="B11" t="s">
        <v>26</v>
      </c>
      <c r="C11" t="s">
        <v>18</v>
      </c>
      <c r="D11" t="s">
        <v>17</v>
      </c>
      <c r="E11" t="s">
        <v>17</v>
      </c>
    </row>
    <row r="12" spans="1:13">
      <c r="A12" t="s">
        <v>27</v>
      </c>
      <c r="B12" t="s">
        <v>28</v>
      </c>
      <c r="C12" t="s">
        <v>17</v>
      </c>
      <c r="M12" t="str">
        <f>$N$1&amp;$B12&amp;$O$1&amp;"{var myIndicatorType = p_object as "&amp;A12&amp;";}"</f>
        <v>if (p_object.GetType().ToString().Substring(FindAllIndexOfSubStr(".",p_object.GetType().ToString()).Max()+1)=="StochRSI"){var myIndicatorType = p_object as NinjaTrader.NinjaScript.Indicators.StochRSI;}</v>
      </c>
    </row>
    <row r="13" hidden="1" spans="1:4">
      <c r="A13" t="s">
        <v>27</v>
      </c>
      <c r="B13" t="s">
        <v>28</v>
      </c>
      <c r="C13" t="s">
        <v>18</v>
      </c>
      <c r="D13" t="s">
        <v>17</v>
      </c>
    </row>
    <row r="14" spans="1:13">
      <c r="A14" t="s">
        <v>29</v>
      </c>
      <c r="B14" t="s">
        <v>30</v>
      </c>
      <c r="C14" t="s">
        <v>17</v>
      </c>
      <c r="M14" t="str">
        <f>$N$1&amp;$B14&amp;$O$1&amp;"{var myIndicatorType = p_object as "&amp;A14&amp;";}"</f>
        <v>if (p_object.GetType().ToString().Substring(FindAllIndexOfSubStr(".",p_object.GetType().ToString()).Max()+1)=="SUM"){var myIndicatorType = p_object as NinjaTrader.NinjaScript.Indicators.SUM;}</v>
      </c>
    </row>
    <row r="15" hidden="1" spans="1:4">
      <c r="A15" t="s">
        <v>29</v>
      </c>
      <c r="B15" t="s">
        <v>30</v>
      </c>
      <c r="C15" t="s">
        <v>18</v>
      </c>
      <c r="D15" t="s">
        <v>17</v>
      </c>
    </row>
    <row r="16" spans="1:13">
      <c r="A16" t="s">
        <v>31</v>
      </c>
      <c r="B16" t="s">
        <v>32</v>
      </c>
      <c r="C16" t="s">
        <v>17</v>
      </c>
      <c r="M16" t="str">
        <f>$N$1&amp;$B16&amp;$O$1&amp;"{var myIndicatorType = p_object as "&amp;A16&amp;";}"</f>
        <v>if (p_object.GetType().ToString().Substring(FindAllIndexOfSubStr(".",p_object.GetType().ToString()).Max()+1)=="Swing"){var myIndicatorType = p_object as NinjaTrader.NinjaScript.Indicators.Swing;}</v>
      </c>
    </row>
    <row r="17" hidden="1" spans="1:4">
      <c r="A17" t="s">
        <v>31</v>
      </c>
      <c r="B17" t="s">
        <v>32</v>
      </c>
      <c r="C17" t="s">
        <v>18</v>
      </c>
      <c r="D17" t="s">
        <v>17</v>
      </c>
    </row>
    <row r="18" spans="1:13">
      <c r="A18" t="s">
        <v>33</v>
      </c>
      <c r="B18" t="s">
        <v>34</v>
      </c>
      <c r="C18" t="s">
        <v>17</v>
      </c>
      <c r="D18" t="s">
        <v>17</v>
      </c>
      <c r="E18" t="s">
        <v>35</v>
      </c>
      <c r="M18" t="str">
        <f>$N$1&amp;$B18&amp;$O$1&amp;"{var myIndicatorType = p_object as "&amp;A18&amp;";}"</f>
        <v>if (p_object.GetType().ToString().Substring(FindAllIndexOfSubStr(".",p_object.GetType().ToString()).Max()+1)=="T3"){var myIndicatorType = p_object as NinjaTrader.NinjaScript.Indicators.T3;}</v>
      </c>
    </row>
    <row r="19" hidden="1" spans="1:6">
      <c r="A19" t="s">
        <v>33</v>
      </c>
      <c r="B19" t="s">
        <v>34</v>
      </c>
      <c r="C19" t="s">
        <v>18</v>
      </c>
      <c r="D19" t="s">
        <v>17</v>
      </c>
      <c r="E19" t="s">
        <v>17</v>
      </c>
      <c r="F19" t="s">
        <v>35</v>
      </c>
    </row>
    <row r="20" spans="1:13">
      <c r="A20" t="s">
        <v>36</v>
      </c>
      <c r="B20" t="s">
        <v>37</v>
      </c>
      <c r="C20" t="s">
        <v>17</v>
      </c>
      <c r="M20" t="str">
        <f>$N$1&amp;$B20&amp;$O$1&amp;"{var myIndicatorType = p_object as "&amp;A20&amp;";}"</f>
        <v>if (p_object.GetType().ToString().Substring(FindAllIndexOfSubStr(".",p_object.GetType().ToString()).Max()+1)=="TEMA"){var myIndicatorType = p_object as NinjaTrader.NinjaScript.Indicators.TEMA;}</v>
      </c>
    </row>
    <row r="21" hidden="1" spans="1:4">
      <c r="A21" t="s">
        <v>36</v>
      </c>
      <c r="B21" t="s">
        <v>37</v>
      </c>
      <c r="C21" t="s">
        <v>18</v>
      </c>
      <c r="D21" t="s">
        <v>17</v>
      </c>
    </row>
    <row r="22" spans="1:13">
      <c r="A22" t="s">
        <v>38</v>
      </c>
      <c r="B22" t="s">
        <v>39</v>
      </c>
      <c r="C22" t="s">
        <v>40</v>
      </c>
      <c r="D22" t="s">
        <v>40</v>
      </c>
      <c r="M22" t="str">
        <f>$N$1&amp;$B22&amp;$O$1&amp;"{var myIndicatorType = p_object as "&amp;A22&amp;";}"</f>
        <v>if (p_object.GetType().ToString().Substring(FindAllIndexOfSubStr(".",p_object.GetType().ToString()).Max()+1)=="TickCounter"){var myIndicatorType = p_object as NinjaTrader.NinjaScript.Indicators.TickCounter;}</v>
      </c>
    </row>
    <row r="23" hidden="1" spans="1:5">
      <c r="A23" t="s">
        <v>38</v>
      </c>
      <c r="B23" t="s">
        <v>39</v>
      </c>
      <c r="C23" t="s">
        <v>18</v>
      </c>
      <c r="D23" t="s">
        <v>40</v>
      </c>
      <c r="E23" t="s">
        <v>40</v>
      </c>
    </row>
    <row r="24" spans="1:13">
      <c r="A24" t="s">
        <v>41</v>
      </c>
      <c r="B24" t="s">
        <v>42</v>
      </c>
      <c r="C24" t="s">
        <v>17</v>
      </c>
      <c r="M24" t="str">
        <f>$N$1&amp;$B24&amp;$O$1&amp;"{var myIndicatorType = p_object as "&amp;A24&amp;";}"</f>
        <v>if (p_object.GetType().ToString().Substring(FindAllIndexOfSubStr(".",p_object.GetType().ToString()).Max()+1)=="TMA"){var myIndicatorType = p_object as NinjaTrader.NinjaScript.Indicators.TMA;}</v>
      </c>
    </row>
    <row r="25" hidden="1" spans="1:4">
      <c r="A25" t="s">
        <v>41</v>
      </c>
      <c r="B25" t="s">
        <v>42</v>
      </c>
      <c r="C25" t="s">
        <v>18</v>
      </c>
      <c r="D25" t="s">
        <v>17</v>
      </c>
    </row>
    <row r="26" spans="1:13">
      <c r="A26" t="s">
        <v>43</v>
      </c>
      <c r="B26" t="s">
        <v>44</v>
      </c>
      <c r="C26" t="s">
        <v>17</v>
      </c>
      <c r="D26" t="s">
        <v>17</v>
      </c>
      <c r="M26" t="str">
        <f>$N$1&amp;$B26&amp;$O$1&amp;"{var myIndicatorType = p_object as "&amp;A26&amp;";}"</f>
        <v>if (p_object.GetType().ToString().Substring(FindAllIndexOfSubStr(".",p_object.GetType().ToString()).Max()+1)=="TRIX"){var myIndicatorType = p_object as NinjaTrader.NinjaScript.Indicators.TRIX;}</v>
      </c>
    </row>
    <row r="27" hidden="1" spans="1:5">
      <c r="A27" t="s">
        <v>43</v>
      </c>
      <c r="B27" t="s">
        <v>44</v>
      </c>
      <c r="C27" t="s">
        <v>18</v>
      </c>
      <c r="D27" t="s">
        <v>17</v>
      </c>
      <c r="E27" t="s">
        <v>17</v>
      </c>
    </row>
    <row r="28" spans="1:13">
      <c r="A28" t="s">
        <v>45</v>
      </c>
      <c r="B28" t="s">
        <v>46</v>
      </c>
      <c r="C28" t="s">
        <v>17</v>
      </c>
      <c r="D28" t="s">
        <v>17</v>
      </c>
      <c r="M28" t="str">
        <f>$N$1&amp;$B28&amp;$O$1&amp;"{var myIndicatorType = p_object as "&amp;A28&amp;";}"</f>
        <v>if (p_object.GetType().ToString().Substring(FindAllIndexOfSubStr(".",p_object.GetType().ToString()).Max()+1)=="TSF"){var myIndicatorType = p_object as NinjaTrader.NinjaScript.Indicators.TSF;}</v>
      </c>
    </row>
    <row r="29" hidden="1" spans="1:5">
      <c r="A29" t="s">
        <v>45</v>
      </c>
      <c r="B29" t="s">
        <v>46</v>
      </c>
      <c r="C29" t="s">
        <v>18</v>
      </c>
      <c r="D29" t="s">
        <v>17</v>
      </c>
      <c r="E29" t="s">
        <v>17</v>
      </c>
    </row>
    <row r="30" spans="1:13">
      <c r="A30" t="s">
        <v>47</v>
      </c>
      <c r="B30" t="s">
        <v>48</v>
      </c>
      <c r="C30" t="s">
        <v>17</v>
      </c>
      <c r="D30" t="s">
        <v>17</v>
      </c>
      <c r="M30" t="str">
        <f>$N$1&amp;$B30&amp;$O$1&amp;"{var myIndicatorType = p_object as "&amp;A30&amp;";}"</f>
        <v>if (p_object.GetType().ToString().Substring(FindAllIndexOfSubStr(".",p_object.GetType().ToString()).Max()+1)=="TSI"){var myIndicatorType = p_object as NinjaTrader.NinjaScript.Indicators.TSI;}</v>
      </c>
    </row>
    <row r="31" hidden="1" spans="1:5">
      <c r="A31" t="s">
        <v>47</v>
      </c>
      <c r="B31" t="s">
        <v>48</v>
      </c>
      <c r="C31" t="s">
        <v>18</v>
      </c>
      <c r="D31" t="s">
        <v>17</v>
      </c>
      <c r="E31" t="s">
        <v>17</v>
      </c>
    </row>
    <row r="32" spans="1:13">
      <c r="A32" t="s">
        <v>49</v>
      </c>
      <c r="B32" t="s">
        <v>50</v>
      </c>
      <c r="C32" t="s">
        <v>17</v>
      </c>
      <c r="D32" t="s">
        <v>17</v>
      </c>
      <c r="E32" t="s">
        <v>17</v>
      </c>
      <c r="M32" t="str">
        <f>$N$1&amp;$B32&amp;$O$1&amp;"{var myIndicatorType = p_object as "&amp;A32&amp;";}"</f>
        <v>if (p_object.GetType().ToString().Substring(FindAllIndexOfSubStr(".",p_object.GetType().ToString()).Max()+1)=="UltimateOscillator"){var myIndicatorType = p_object as NinjaTrader.NinjaScript.Indicators.UltimateOscillator;}</v>
      </c>
    </row>
    <row r="33" hidden="1" spans="1:6">
      <c r="A33" t="s">
        <v>49</v>
      </c>
      <c r="B33" t="s">
        <v>50</v>
      </c>
      <c r="C33" t="s">
        <v>18</v>
      </c>
      <c r="D33" t="s">
        <v>17</v>
      </c>
      <c r="E33" t="s">
        <v>17</v>
      </c>
      <c r="F33" t="s">
        <v>17</v>
      </c>
    </row>
    <row r="34" spans="1:13">
      <c r="A34" t="s">
        <v>51</v>
      </c>
      <c r="B34" t="s">
        <v>52</v>
      </c>
      <c r="C34" t="s">
        <v>17</v>
      </c>
      <c r="D34" t="s">
        <v>17</v>
      </c>
      <c r="M34" t="str">
        <f>$N$1&amp;$B34&amp;$O$1&amp;"{var myIndicatorType = p_object as "&amp;A34&amp;";}"</f>
        <v>if (p_object.GetType().ToString().Substring(FindAllIndexOfSubStr(".",p_object.GetType().ToString()).Max()+1)=="VMA"){var myIndicatorType = p_object as NinjaTrader.NinjaScript.Indicators.VMA;}</v>
      </c>
    </row>
    <row r="35" hidden="1" spans="1:5">
      <c r="A35" t="s">
        <v>51</v>
      </c>
      <c r="B35" t="s">
        <v>52</v>
      </c>
      <c r="C35" t="s">
        <v>18</v>
      </c>
      <c r="D35" t="s">
        <v>17</v>
      </c>
      <c r="E35" t="s">
        <v>17</v>
      </c>
    </row>
    <row r="36" spans="1:13">
      <c r="A36" t="s">
        <v>53</v>
      </c>
      <c r="B36" t="s">
        <v>54</v>
      </c>
      <c r="M36" t="str">
        <f>$N$1&amp;$B36&amp;$O$1&amp;"{var myIndicatorType = p_object as "&amp;A36&amp;";}"</f>
        <v>if (p_object.GetType().ToString().Substring(FindAllIndexOfSubStr(".",p_object.GetType().ToString()).Max()+1)=="VOL"){var myIndicatorType = p_object as NinjaTrader.NinjaScript.Indicators.VOL;}</v>
      </c>
    </row>
    <row r="37" hidden="1" spans="1:3">
      <c r="A37" t="s">
        <v>53</v>
      </c>
      <c r="B37" t="s">
        <v>54</v>
      </c>
      <c r="C37" t="s">
        <v>18</v>
      </c>
    </row>
    <row r="38" spans="1:13">
      <c r="A38" t="s">
        <v>55</v>
      </c>
      <c r="B38" t="s">
        <v>56</v>
      </c>
      <c r="C38" t="s">
        <v>17</v>
      </c>
      <c r="M38" t="str">
        <f>$N$1&amp;$B38&amp;$O$1&amp;"{var myIndicatorType = p_object as "&amp;A38&amp;";}"</f>
        <v>if (p_object.GetType().ToString().Substring(FindAllIndexOfSubStr(".",p_object.GetType().ToString()).Max()+1)=="VOLMA"){var myIndicatorType = p_object as NinjaTrader.NinjaScript.Indicators.VOLMA;}</v>
      </c>
    </row>
    <row r="39" hidden="1" spans="1:4">
      <c r="A39" t="s">
        <v>55</v>
      </c>
      <c r="B39" t="s">
        <v>56</v>
      </c>
      <c r="C39" t="s">
        <v>18</v>
      </c>
      <c r="D39" t="s">
        <v>17</v>
      </c>
    </row>
    <row r="40" spans="1:13">
      <c r="A40" t="s">
        <v>57</v>
      </c>
      <c r="B40" t="s">
        <v>58</v>
      </c>
      <c r="C40" t="s">
        <v>40</v>
      </c>
      <c r="D40" t="s">
        <v>40</v>
      </c>
      <c r="M40" t="str">
        <f>$N$1&amp;$B40&amp;$O$1&amp;"{var myIndicatorType = p_object as "&amp;A40&amp;";}"</f>
        <v>if (p_object.GetType().ToString().Substring(FindAllIndexOfSubStr(".",p_object.GetType().ToString()).Max()+1)=="VolumeCounter"){var myIndicatorType = p_object as NinjaTrader.NinjaScript.Indicators.VolumeCounter;}</v>
      </c>
    </row>
    <row r="41" hidden="1" spans="1:5">
      <c r="A41" t="s">
        <v>57</v>
      </c>
      <c r="B41" t="s">
        <v>58</v>
      </c>
      <c r="C41" t="s">
        <v>18</v>
      </c>
      <c r="D41" t="s">
        <v>40</v>
      </c>
      <c r="E41" t="s">
        <v>40</v>
      </c>
    </row>
    <row r="42" spans="1:13">
      <c r="A42" t="s">
        <v>59</v>
      </c>
      <c r="B42" t="s">
        <v>60</v>
      </c>
      <c r="C42" t="s">
        <v>17</v>
      </c>
      <c r="D42" t="s">
        <v>17</v>
      </c>
      <c r="M42" t="str">
        <f>$N$1&amp;$B42&amp;$O$1&amp;"{var myIndicatorType = p_object as "&amp;A42&amp;";}"</f>
        <v>if (p_object.GetType().ToString().Substring(FindAllIndexOfSubStr(".",p_object.GetType().ToString()).Max()+1)=="VolumeOscillator"){var myIndicatorType = p_object as NinjaTrader.NinjaScript.Indicators.VolumeOscillator;}</v>
      </c>
    </row>
    <row r="43" hidden="1" spans="1:5">
      <c r="A43" t="s">
        <v>59</v>
      </c>
      <c r="B43" t="s">
        <v>60</v>
      </c>
      <c r="C43" t="s">
        <v>18</v>
      </c>
      <c r="D43" t="s">
        <v>17</v>
      </c>
      <c r="E43" t="s">
        <v>17</v>
      </c>
    </row>
    <row r="44" spans="1:13">
      <c r="A44" t="s">
        <v>61</v>
      </c>
      <c r="B44" t="s">
        <v>62</v>
      </c>
      <c r="M44" t="str">
        <f>$N$1&amp;$B44&amp;$O$1&amp;"{var myIndicatorType = p_object as "&amp;A44&amp;";}"</f>
        <v>if (p_object.GetType().ToString().Substring(FindAllIndexOfSubStr(".",p_object.GetType().ToString()).Max()+1)=="VolumeProfile"){var myIndicatorType = p_object as NinjaTrader.NinjaScript.Indicators.VolumeProfile;}</v>
      </c>
    </row>
    <row r="45" hidden="1" spans="1:3">
      <c r="A45" t="s">
        <v>61</v>
      </c>
      <c r="B45" t="s">
        <v>62</v>
      </c>
      <c r="C45" t="s">
        <v>18</v>
      </c>
    </row>
    <row r="46" spans="1:13">
      <c r="A46" t="s">
        <v>63</v>
      </c>
      <c r="B46" t="s">
        <v>64</v>
      </c>
      <c r="M46" t="str">
        <f>$N$1&amp;$B46&amp;$O$1&amp;"{var myIndicatorType = p_object as "&amp;A46&amp;";}"</f>
        <v>if (p_object.GetType().ToString().Substring(FindAllIndexOfSubStr(".",p_object.GetType().ToString()).Max()+1)=="VolumeUpDown"){var myIndicatorType = p_object as NinjaTrader.NinjaScript.Indicators.VolumeUpDown;}</v>
      </c>
    </row>
    <row r="47" hidden="1" spans="1:3">
      <c r="A47" t="s">
        <v>63</v>
      </c>
      <c r="B47" t="s">
        <v>64</v>
      </c>
      <c r="C47" t="s">
        <v>18</v>
      </c>
    </row>
    <row r="48" spans="1:13">
      <c r="A48" t="s">
        <v>65</v>
      </c>
      <c r="B48" t="s">
        <v>66</v>
      </c>
      <c r="M48" t="str">
        <f>$N$1&amp;$B48&amp;$O$1&amp;"{var myIndicatorType = p_object as "&amp;A48&amp;";}"</f>
        <v>if (p_object.GetType().ToString().Substring(FindAllIndexOfSubStr(".",p_object.GetType().ToString()).Max()+1)=="VolumeZones"){var myIndicatorType = p_object as NinjaTrader.NinjaScript.Indicators.VolumeZones;}</v>
      </c>
    </row>
    <row r="49" hidden="1" spans="1:3">
      <c r="A49" t="s">
        <v>65</v>
      </c>
      <c r="B49" t="s">
        <v>66</v>
      </c>
      <c r="C49" t="s">
        <v>18</v>
      </c>
    </row>
    <row r="50" spans="1:13">
      <c r="A50" t="s">
        <v>67</v>
      </c>
      <c r="B50" t="s">
        <v>68</v>
      </c>
      <c r="C50" t="s">
        <v>17</v>
      </c>
      <c r="D50" t="s">
        <v>17</v>
      </c>
      <c r="M50" t="str">
        <f>$N$1&amp;$B50&amp;$O$1&amp;"{var myIndicatorType = p_object as "&amp;A50&amp;";}"</f>
        <v>if (p_object.GetType().ToString().Substring(FindAllIndexOfSubStr(".",p_object.GetType().ToString()).Max()+1)=="VROC"){var myIndicatorType = p_object as NinjaTrader.NinjaScript.Indicators.VROC;}</v>
      </c>
    </row>
    <row r="51" hidden="1" spans="1:5">
      <c r="A51" t="s">
        <v>67</v>
      </c>
      <c r="B51" t="s">
        <v>68</v>
      </c>
      <c r="C51" t="s">
        <v>18</v>
      </c>
      <c r="D51" t="s">
        <v>17</v>
      </c>
      <c r="E51" t="s">
        <v>17</v>
      </c>
    </row>
    <row r="52" spans="1:13">
      <c r="A52" t="s">
        <v>69</v>
      </c>
      <c r="B52" t="s">
        <v>70</v>
      </c>
      <c r="C52" t="s">
        <v>17</v>
      </c>
      <c r="M52" t="str">
        <f>$N$1&amp;$B52&amp;$O$1&amp;"{var myIndicatorType = p_object as "&amp;A52&amp;";}"</f>
        <v>if (p_object.GetType().ToString().Substring(FindAllIndexOfSubStr(".",p_object.GetType().ToString()).Max()+1)=="VWMA"){var myIndicatorType = p_object as NinjaTrader.NinjaScript.Indicators.VWMA;}</v>
      </c>
    </row>
    <row r="53" hidden="1" spans="1:4">
      <c r="A53" t="s">
        <v>69</v>
      </c>
      <c r="B53" t="s">
        <v>70</v>
      </c>
      <c r="C53" t="s">
        <v>18</v>
      </c>
      <c r="D53" t="s">
        <v>17</v>
      </c>
    </row>
    <row r="54" spans="1:13">
      <c r="A54" t="s">
        <v>71</v>
      </c>
      <c r="B54" t="s">
        <v>72</v>
      </c>
      <c r="C54" t="s">
        <v>17</v>
      </c>
      <c r="M54" t="str">
        <f>$N$1&amp;$B54&amp;$O$1&amp;"{var myIndicatorType = p_object as "&amp;A54&amp;";}"</f>
        <v>if (p_object.GetType().ToString().Substring(FindAllIndexOfSubStr(".",p_object.GetType().ToString()).Max()+1)=="WilliamsR"){var myIndicatorType = p_object as NinjaTrader.NinjaScript.Indicators.WilliamsR;}</v>
      </c>
    </row>
    <row r="55" hidden="1" spans="1:4">
      <c r="A55" t="s">
        <v>71</v>
      </c>
      <c r="B55" t="s">
        <v>72</v>
      </c>
      <c r="C55" t="s">
        <v>18</v>
      </c>
      <c r="D55" t="s">
        <v>17</v>
      </c>
    </row>
    <row r="56" spans="1:13">
      <c r="A56" t="s">
        <v>73</v>
      </c>
      <c r="B56" t="s">
        <v>74</v>
      </c>
      <c r="C56" t="s">
        <v>17</v>
      </c>
      <c r="M56" t="str">
        <f>$N$1&amp;$B56&amp;$O$1&amp;"{var myIndicatorType = p_object as "&amp;A56&amp;";}"</f>
        <v>if (p_object.GetType().ToString().Substring(FindAllIndexOfSubStr(".",p_object.GetType().ToString()).Max()+1)=="WMA"){var myIndicatorType = p_object as NinjaTrader.NinjaScript.Indicators.WMA;}</v>
      </c>
    </row>
    <row r="57" hidden="1" spans="1:4">
      <c r="A57" t="s">
        <v>73</v>
      </c>
      <c r="B57" t="s">
        <v>74</v>
      </c>
      <c r="C57" t="s">
        <v>18</v>
      </c>
      <c r="D57" t="s">
        <v>17</v>
      </c>
    </row>
    <row r="58" spans="1:13">
      <c r="A58" t="s">
        <v>75</v>
      </c>
      <c r="B58" t="s">
        <v>76</v>
      </c>
      <c r="C58" t="s">
        <v>77</v>
      </c>
      <c r="D58" t="s">
        <v>35</v>
      </c>
      <c r="E58" t="s">
        <v>40</v>
      </c>
      <c r="M58" t="str">
        <f>$N$1&amp;$B58&amp;$O$1&amp;"{var myIndicatorType = p_object as "&amp;A58&amp;";}"</f>
        <v>if (p_object.GetType().ToString().Substring(FindAllIndexOfSubStr(".",p_object.GetType().ToString()).Max()+1)=="ZigZag"){var myIndicatorType = p_object as NinjaTrader.NinjaScript.Indicators.ZigZag;}</v>
      </c>
    </row>
    <row r="59" hidden="1" spans="1:6">
      <c r="A59" t="s">
        <v>75</v>
      </c>
      <c r="B59" t="s">
        <v>76</v>
      </c>
      <c r="C59" t="s">
        <v>18</v>
      </c>
      <c r="D59" t="s">
        <v>77</v>
      </c>
      <c r="E59" t="s">
        <v>35</v>
      </c>
      <c r="F59" t="s">
        <v>40</v>
      </c>
    </row>
    <row r="60" spans="1:13">
      <c r="A60" t="s">
        <v>78</v>
      </c>
      <c r="B60" t="s">
        <v>79</v>
      </c>
      <c r="C60" t="s">
        <v>17</v>
      </c>
      <c r="M60" t="str">
        <f>$N$1&amp;$B60&amp;$O$1&amp;"{var myIndicatorType = p_object as "&amp;A60&amp;";}"</f>
        <v>if (p_object.GetType().ToString().Substring(FindAllIndexOfSubStr(".",p_object.GetType().ToString()).Max()+1)=="ZLEMA"){var myIndicatorType = p_object as NinjaTrader.NinjaScript.Indicators.ZLEMA;}</v>
      </c>
    </row>
    <row r="61" hidden="1" spans="1:4">
      <c r="A61" t="s">
        <v>78</v>
      </c>
      <c r="B61" t="s">
        <v>79</v>
      </c>
      <c r="C61" t="s">
        <v>18</v>
      </c>
      <c r="D61" t="s">
        <v>17</v>
      </c>
    </row>
    <row r="62" spans="1:13">
      <c r="A62" t="s">
        <v>80</v>
      </c>
      <c r="B62" t="s">
        <v>81</v>
      </c>
      <c r="C62" t="s">
        <v>17</v>
      </c>
      <c r="D62" t="s">
        <v>17</v>
      </c>
      <c r="E62" t="s">
        <v>17</v>
      </c>
      <c r="F62" t="s">
        <v>17</v>
      </c>
      <c r="G62" t="s">
        <v>17</v>
      </c>
      <c r="H62" t="s">
        <v>17</v>
      </c>
      <c r="I62" t="s">
        <v>17</v>
      </c>
      <c r="J62" t="s">
        <v>17</v>
      </c>
      <c r="K62" t="s">
        <v>17</v>
      </c>
      <c r="M62" t="str">
        <f>$N$1&amp;$B62&amp;$O$1&amp;"{var myIndicatorType = p_object as "&amp;A62&amp;";}"</f>
        <v>if (p_object.GetType().ToString().Substring(FindAllIndexOfSubStr(".",p_object.GetType().ToString()).Max()+1)=="WoodiesCCI"){var myIndicatorType = p_object as NinjaTrader.NinjaScript.Indicators.WoodiesCCI;}</v>
      </c>
    </row>
    <row r="63" hidden="1" spans="1:12">
      <c r="A63" t="s">
        <v>80</v>
      </c>
      <c r="B63" t="s">
        <v>81</v>
      </c>
      <c r="C63" t="s">
        <v>18</v>
      </c>
      <c r="D63" t="s">
        <v>17</v>
      </c>
      <c r="E63" t="s">
        <v>17</v>
      </c>
      <c r="F63" t="s">
        <v>17</v>
      </c>
      <c r="G63" t="s">
        <v>17</v>
      </c>
      <c r="H63" t="s">
        <v>17</v>
      </c>
      <c r="I63" t="s">
        <v>17</v>
      </c>
      <c r="J63" t="s">
        <v>17</v>
      </c>
      <c r="K63" t="s">
        <v>17</v>
      </c>
      <c r="L63" t="s">
        <v>17</v>
      </c>
    </row>
    <row r="64" spans="1:13">
      <c r="A64" t="s">
        <v>82</v>
      </c>
      <c r="B64" t="s">
        <v>83</v>
      </c>
      <c r="C64" t="s">
        <v>84</v>
      </c>
      <c r="D64" t="s">
        <v>17</v>
      </c>
      <c r="M64" t="str">
        <f>$N$1&amp;$B64&amp;$O$1&amp;"{var myIndicatorType = p_object as "&amp;A64&amp;";}"</f>
        <v>if (p_object.GetType().ToString().Substring(FindAllIndexOfSubStr(".",p_object.GetType().ToString()).Max()+1)=="WoodiesPivots"){var myIndicatorType = p_object as NinjaTrader.NinjaScript.Indicators.WoodiesPivots;}</v>
      </c>
    </row>
    <row r="65" hidden="1" spans="1:5">
      <c r="A65" t="s">
        <v>82</v>
      </c>
      <c r="B65" t="s">
        <v>83</v>
      </c>
      <c r="C65" t="s">
        <v>18</v>
      </c>
      <c r="D65" t="s">
        <v>84</v>
      </c>
      <c r="E65" t="s">
        <v>17</v>
      </c>
    </row>
    <row r="66" spans="1:13">
      <c r="A66" t="s">
        <v>85</v>
      </c>
      <c r="B66" t="s">
        <v>86</v>
      </c>
      <c r="M66" t="str">
        <f>$N$1&amp;$B66&amp;$O$1&amp;"{var myIndicatorType = p_object as "&amp;A66&amp;";}"</f>
        <v>if (p_object.GetType().ToString().Substring(FindAllIndexOfSubStr(".",p_object.GetType().ToString()).Max()+1)=="ADL"){var myIndicatorType = p_object as NinjaTrader.NinjaScript.Indicators.ADL;}</v>
      </c>
    </row>
    <row r="67" hidden="1" spans="1:3">
      <c r="A67" t="s">
        <v>85</v>
      </c>
      <c r="B67" t="s">
        <v>86</v>
      </c>
      <c r="C67" t="s">
        <v>18</v>
      </c>
    </row>
    <row r="68" spans="1:13">
      <c r="A68" t="s">
        <v>87</v>
      </c>
      <c r="B68" t="s">
        <v>88</v>
      </c>
      <c r="C68" t="s">
        <v>17</v>
      </c>
      <c r="M68" t="str">
        <f>$N$1&amp;$B68&amp;$O$1&amp;"{var myIndicatorType = p_object as "&amp;A68&amp;";}"</f>
        <v>if (p_object.GetType().ToString().Substring(FindAllIndexOfSubStr(".",p_object.GetType().ToString()).Max()+1)=="ADX"){var myIndicatorType = p_object as NinjaTrader.NinjaScript.Indicators.ADX;}</v>
      </c>
    </row>
    <row r="69" hidden="1" spans="1:4">
      <c r="A69" t="s">
        <v>87</v>
      </c>
      <c r="B69" t="s">
        <v>88</v>
      </c>
      <c r="C69" t="s">
        <v>18</v>
      </c>
      <c r="D69" t="s">
        <v>17</v>
      </c>
    </row>
    <row r="70" spans="1:13">
      <c r="A70" t="s">
        <v>89</v>
      </c>
      <c r="B70" t="s">
        <v>90</v>
      </c>
      <c r="C70" t="s">
        <v>17</v>
      </c>
      <c r="D70" t="s">
        <v>17</v>
      </c>
      <c r="M70" t="str">
        <f>$N$1&amp;$B70&amp;$O$1&amp;"{var myIndicatorType = p_object as "&amp;A70&amp;";}"</f>
        <v>if (p_object.GetType().ToString().Substring(FindAllIndexOfSubStr(".",p_object.GetType().ToString()).Max()+1)=="ADXR"){var myIndicatorType = p_object as NinjaTrader.NinjaScript.Indicators.ADXR;}</v>
      </c>
    </row>
    <row r="71" hidden="1" spans="1:5">
      <c r="A71" t="s">
        <v>89</v>
      </c>
      <c r="B71" t="s">
        <v>90</v>
      </c>
      <c r="C71" t="s">
        <v>18</v>
      </c>
      <c r="D71" t="s">
        <v>17</v>
      </c>
      <c r="E71" t="s">
        <v>17</v>
      </c>
    </row>
    <row r="72" spans="1:13">
      <c r="A72" t="s">
        <v>91</v>
      </c>
      <c r="B72" t="s">
        <v>92</v>
      </c>
      <c r="C72" t="s">
        <v>35</v>
      </c>
      <c r="D72" t="s">
        <v>17</v>
      </c>
      <c r="M72" t="str">
        <f>$N$1&amp;$B72&amp;$O$1&amp;"{var myIndicatorType = p_object as "&amp;A72&amp;";}"</f>
        <v>if (p_object.GetType().ToString().Substring(FindAllIndexOfSubStr(".",p_object.GetType().ToString()).Max()+1)=="APZ"){var myIndicatorType = p_object as NinjaTrader.NinjaScript.Indicators.APZ;}</v>
      </c>
    </row>
    <row r="73" hidden="1" spans="1:5">
      <c r="A73" t="s">
        <v>91</v>
      </c>
      <c r="B73" t="s">
        <v>92</v>
      </c>
      <c r="C73" t="s">
        <v>18</v>
      </c>
      <c r="D73" t="s">
        <v>35</v>
      </c>
      <c r="E73" t="s">
        <v>17</v>
      </c>
    </row>
    <row r="74" spans="1:13">
      <c r="A74" t="s">
        <v>93</v>
      </c>
      <c r="B74" t="s">
        <v>94</v>
      </c>
      <c r="C74" t="s">
        <v>17</v>
      </c>
      <c r="M74" t="str">
        <f>$N$1&amp;$B74&amp;$O$1&amp;"{var myIndicatorType = p_object as "&amp;A74&amp;";}"</f>
        <v>if (p_object.GetType().ToString().Substring(FindAllIndexOfSubStr(".",p_object.GetType().ToString()).Max()+1)=="Aroon"){var myIndicatorType = p_object as NinjaTrader.NinjaScript.Indicators.Aroon;}</v>
      </c>
    </row>
    <row r="75" hidden="1" spans="1:4">
      <c r="A75" t="s">
        <v>93</v>
      </c>
      <c r="B75" t="s">
        <v>94</v>
      </c>
      <c r="C75" t="s">
        <v>18</v>
      </c>
      <c r="D75" t="s">
        <v>17</v>
      </c>
    </row>
    <row r="76" spans="1:13">
      <c r="A76" t="s">
        <v>95</v>
      </c>
      <c r="B76" t="s">
        <v>96</v>
      </c>
      <c r="C76" t="s">
        <v>17</v>
      </c>
      <c r="M76" t="str">
        <f>$N$1&amp;$B76&amp;$O$1&amp;"{var myIndicatorType = p_object as "&amp;A76&amp;";}"</f>
        <v>if (p_object.GetType().ToString().Substring(FindAllIndexOfSubStr(".",p_object.GetType().ToString()).Max()+1)=="AroonOscillator"){var myIndicatorType = p_object as NinjaTrader.NinjaScript.Indicators.AroonOscillator;}</v>
      </c>
    </row>
    <row r="77" hidden="1" spans="1:4">
      <c r="A77" t="s">
        <v>95</v>
      </c>
      <c r="B77" t="s">
        <v>96</v>
      </c>
      <c r="C77" t="s">
        <v>18</v>
      </c>
      <c r="D77" t="s">
        <v>17</v>
      </c>
    </row>
    <row r="78" spans="1:13">
      <c r="A78" t="s">
        <v>97</v>
      </c>
      <c r="B78" t="s">
        <v>98</v>
      </c>
      <c r="C78" t="s">
        <v>17</v>
      </c>
      <c r="M78" t="str">
        <f>$N$1&amp;$B78&amp;$O$1&amp;"{var myIndicatorType = p_object as "&amp;A78&amp;";}"</f>
        <v>if (p_object.GetType().ToString().Substring(FindAllIndexOfSubStr(".",p_object.GetType().ToString()).Max()+1)=="ATR"){var myIndicatorType = p_object as NinjaTrader.NinjaScript.Indicators.ATR;}</v>
      </c>
    </row>
    <row r="79" hidden="1" spans="1:4">
      <c r="A79" t="s">
        <v>97</v>
      </c>
      <c r="B79" t="s">
        <v>98</v>
      </c>
      <c r="C79" t="s">
        <v>18</v>
      </c>
      <c r="D79" t="s">
        <v>17</v>
      </c>
    </row>
    <row r="80" spans="1:13">
      <c r="A80" t="s">
        <v>99</v>
      </c>
      <c r="B80" t="s">
        <v>100</v>
      </c>
      <c r="M80" t="str">
        <f>$N$1&amp;$B80&amp;$O$1&amp;"{var myIndicatorType = p_object as "&amp;A80&amp;";}"</f>
        <v>if (p_object.GetType().ToString().Substring(FindAllIndexOfSubStr(".",p_object.GetType().ToString()).Max()+1)=="BarTimer"){var myIndicatorType = p_object as NinjaTrader.NinjaScript.Indicators.BarTimer;}</v>
      </c>
    </row>
    <row r="81" hidden="1" spans="1:3">
      <c r="A81" t="s">
        <v>99</v>
      </c>
      <c r="B81" t="s">
        <v>100</v>
      </c>
      <c r="C81" t="s">
        <v>18</v>
      </c>
    </row>
    <row r="82" spans="1:13">
      <c r="A82" t="s">
        <v>101</v>
      </c>
      <c r="B82" t="s">
        <v>102</v>
      </c>
      <c r="C82" t="s">
        <v>35</v>
      </c>
      <c r="D82" t="s">
        <v>17</v>
      </c>
      <c r="M82" t="str">
        <f>$N$1&amp;$B82&amp;$O$1&amp;"{var myIndicatorType = p_object as "&amp;A82&amp;";}"</f>
        <v>if (p_object.GetType().ToString().Substring(FindAllIndexOfSubStr(".",p_object.GetType().ToString()).Max()+1)=="Bollinger"){var myIndicatorType = p_object as NinjaTrader.NinjaScript.Indicators.Bollinger;}</v>
      </c>
    </row>
    <row r="83" hidden="1" spans="1:5">
      <c r="A83" t="s">
        <v>101</v>
      </c>
      <c r="B83" t="s">
        <v>102</v>
      </c>
      <c r="C83" t="s">
        <v>18</v>
      </c>
      <c r="D83" t="s">
        <v>35</v>
      </c>
      <c r="E83" t="s">
        <v>17</v>
      </c>
    </row>
    <row r="84" spans="1:13">
      <c r="A84" t="s">
        <v>103</v>
      </c>
      <c r="B84" t="s">
        <v>104</v>
      </c>
      <c r="C84" t="s">
        <v>17</v>
      </c>
      <c r="M84" t="str">
        <f>$N$1&amp;$B84&amp;$O$1&amp;"{var myIndicatorType = p_object as "&amp;A84&amp;";}"</f>
        <v>if (p_object.GetType().ToString().Substring(FindAllIndexOfSubStr(".",p_object.GetType().ToString()).Max()+1)=="BOP"){var myIndicatorType = p_object as NinjaTrader.NinjaScript.Indicators.BOP;}</v>
      </c>
    </row>
    <row r="85" hidden="1" spans="1:4">
      <c r="A85" t="s">
        <v>103</v>
      </c>
      <c r="B85" t="s">
        <v>104</v>
      </c>
      <c r="C85" t="s">
        <v>18</v>
      </c>
      <c r="D85" t="s">
        <v>17</v>
      </c>
    </row>
    <row r="86" spans="1:13">
      <c r="A86" t="s">
        <v>105</v>
      </c>
      <c r="B86" t="s">
        <v>106</v>
      </c>
      <c r="M86" t="str">
        <f>$N$1&amp;$B86&amp;$O$1&amp;"{var myIndicatorType = p_object as "&amp;A86&amp;";}"</f>
        <v>if (p_object.GetType().ToString().Substring(FindAllIndexOfSubStr(".",p_object.GetType().ToString()).Max()+1)=="BuySellPressure"){var myIndicatorType = p_object as NinjaTrader.NinjaScript.Indicators.BuySellPressure;}</v>
      </c>
    </row>
    <row r="87" hidden="1" spans="1:3">
      <c r="A87" t="s">
        <v>105</v>
      </c>
      <c r="B87" t="s">
        <v>106</v>
      </c>
      <c r="C87" t="s">
        <v>18</v>
      </c>
    </row>
    <row r="88" spans="1:13">
      <c r="A88" t="s">
        <v>107</v>
      </c>
      <c r="B88" t="s">
        <v>108</v>
      </c>
      <c r="M88" t="str">
        <f>$N$1&amp;$B88&amp;$O$1&amp;"{var myIndicatorType = p_object as "&amp;A88&amp;";}"</f>
        <v>if (p_object.GetType().ToString().Substring(FindAllIndexOfSubStr(".",p_object.GetType().ToString()).Max()+1)=="BuySellVolume"){var myIndicatorType = p_object as NinjaTrader.NinjaScript.Indicators.BuySellVolume;}</v>
      </c>
    </row>
    <row r="89" hidden="1" spans="1:3">
      <c r="A89" t="s">
        <v>107</v>
      </c>
      <c r="B89" t="s">
        <v>108</v>
      </c>
      <c r="C89" t="s">
        <v>18</v>
      </c>
    </row>
    <row r="90" spans="1:13">
      <c r="A90" t="s">
        <v>109</v>
      </c>
      <c r="B90" t="s">
        <v>110</v>
      </c>
      <c r="C90" t="s">
        <v>111</v>
      </c>
      <c r="D90" t="s">
        <v>17</v>
      </c>
      <c r="M90" t="str">
        <f>$N$1&amp;$B90&amp;$O$1&amp;"{var myIndicatorType = p_object as "&amp;A90&amp;";}"</f>
        <v>if (p_object.GetType().ToString().Substring(FindAllIndexOfSubStr(".",p_object.GetType().ToString()).Max()+1)=="CandlestickPattern"){var myIndicatorType = p_object as NinjaTrader.NinjaScript.Indicators.CandlestickPattern;}</v>
      </c>
    </row>
    <row r="91" hidden="1" spans="1:5">
      <c r="A91" t="s">
        <v>109</v>
      </c>
      <c r="B91" t="s">
        <v>110</v>
      </c>
      <c r="C91" t="s">
        <v>18</v>
      </c>
      <c r="D91" t="s">
        <v>111</v>
      </c>
      <c r="E91" t="s">
        <v>17</v>
      </c>
    </row>
    <row r="92" spans="1:13">
      <c r="A92" t="s">
        <v>112</v>
      </c>
      <c r="B92" t="s">
        <v>113</v>
      </c>
      <c r="C92" t="s">
        <v>17</v>
      </c>
      <c r="M92" t="str">
        <f>$N$1&amp;$B92&amp;$O$1&amp;"{var myIndicatorType = p_object as "&amp;A92&amp;";}"</f>
        <v>if (p_object.GetType().ToString().Substring(FindAllIndexOfSubStr(".",p_object.GetType().ToString()).Max()+1)=="CCI"){var myIndicatorType = p_object as NinjaTrader.NinjaScript.Indicators.CCI;}</v>
      </c>
    </row>
    <row r="93" hidden="1" spans="1:4">
      <c r="A93" t="s">
        <v>112</v>
      </c>
      <c r="B93" t="s">
        <v>113</v>
      </c>
      <c r="C93" t="s">
        <v>18</v>
      </c>
      <c r="D93" t="s">
        <v>17</v>
      </c>
    </row>
    <row r="94" spans="1:13">
      <c r="A94" t="s">
        <v>114</v>
      </c>
      <c r="B94" t="s">
        <v>115</v>
      </c>
      <c r="C94" t="s">
        <v>17</v>
      </c>
      <c r="M94" t="str">
        <f>$N$1&amp;$B94&amp;$O$1&amp;"{var myIndicatorType = p_object as "&amp;A94&amp;";}"</f>
        <v>if (p_object.GetType().ToString().Substring(FindAllIndexOfSubStr(".",p_object.GetType().ToString()).Max()+1)=="ChaikinMoneyFlow"){var myIndicatorType = p_object as NinjaTrader.NinjaScript.Indicators.ChaikinMoneyFlow;}</v>
      </c>
    </row>
    <row r="95" hidden="1" spans="1:4">
      <c r="A95" t="s">
        <v>114</v>
      </c>
      <c r="B95" t="s">
        <v>115</v>
      </c>
      <c r="C95" t="s">
        <v>18</v>
      </c>
      <c r="D95" t="s">
        <v>17</v>
      </c>
    </row>
    <row r="96" spans="1:13">
      <c r="A96" t="s">
        <v>116</v>
      </c>
      <c r="B96" t="s">
        <v>117</v>
      </c>
      <c r="C96" t="s">
        <v>17</v>
      </c>
      <c r="D96" t="s">
        <v>17</v>
      </c>
      <c r="M96" t="str">
        <f>$N$1&amp;$B96&amp;$O$1&amp;"{var myIndicatorType = p_object as "&amp;A96&amp;";}"</f>
        <v>if (p_object.GetType().ToString().Substring(FindAllIndexOfSubStr(".",p_object.GetType().ToString()).Max()+1)=="ChaikinOscillator"){var myIndicatorType = p_object as NinjaTrader.NinjaScript.Indicators.ChaikinOscillator;}</v>
      </c>
    </row>
    <row r="97" hidden="1" spans="1:5">
      <c r="A97" t="s">
        <v>116</v>
      </c>
      <c r="B97" t="s">
        <v>117</v>
      </c>
      <c r="C97" t="s">
        <v>18</v>
      </c>
      <c r="D97" t="s">
        <v>17</v>
      </c>
      <c r="E97" t="s">
        <v>17</v>
      </c>
    </row>
    <row r="98" spans="1:13">
      <c r="A98" t="s">
        <v>118</v>
      </c>
      <c r="B98" t="s">
        <v>119</v>
      </c>
      <c r="C98" t="s">
        <v>17</v>
      </c>
      <c r="D98" t="s">
        <v>17</v>
      </c>
      <c r="M98" t="str">
        <f>$N$1&amp;$B98&amp;$O$1&amp;"{var myIndicatorType = p_object as "&amp;A98&amp;";}"</f>
        <v>if (p_object.GetType().ToString().Substring(FindAllIndexOfSubStr(".",p_object.GetType().ToString()).Max()+1)=="ChaikinVolatility"){var myIndicatorType = p_object as NinjaTrader.NinjaScript.Indicators.ChaikinVolatility;}</v>
      </c>
    </row>
    <row r="99" hidden="1" spans="1:5">
      <c r="A99" t="s">
        <v>118</v>
      </c>
      <c r="B99" t="s">
        <v>119</v>
      </c>
      <c r="C99" t="s">
        <v>18</v>
      </c>
      <c r="D99" t="s">
        <v>17</v>
      </c>
      <c r="E99" t="s">
        <v>17</v>
      </c>
    </row>
    <row r="100" spans="1:13">
      <c r="A100" t="s">
        <v>120</v>
      </c>
      <c r="B100" t="s">
        <v>121</v>
      </c>
      <c r="C100" t="s">
        <v>17</v>
      </c>
      <c r="M100" t="str">
        <f>$N$1&amp;$B100&amp;$O$1&amp;"{var myIndicatorType = p_object as "&amp;A100&amp;";}"</f>
        <v>if (p_object.GetType().ToString().Substring(FindAllIndexOfSubStr(".",p_object.GetType().ToString()).Max()+1)=="CMO"){var myIndicatorType = p_object as NinjaTrader.NinjaScript.Indicators.CMO;}</v>
      </c>
    </row>
    <row r="101" hidden="1" spans="1:4">
      <c r="A101" t="s">
        <v>120</v>
      </c>
      <c r="B101" t="s">
        <v>121</v>
      </c>
      <c r="C101" t="s">
        <v>18</v>
      </c>
      <c r="D101" t="s">
        <v>17</v>
      </c>
    </row>
    <row r="102" spans="1:13">
      <c r="A102" t="s">
        <v>122</v>
      </c>
      <c r="B102" t="s">
        <v>123</v>
      </c>
      <c r="C102" t="s">
        <v>35</v>
      </c>
      <c r="D102" t="s">
        <v>35</v>
      </c>
      <c r="E102" t="s">
        <v>35</v>
      </c>
      <c r="F102" t="s">
        <v>35</v>
      </c>
      <c r="M102" t="str">
        <f>$N$1&amp;$B102&amp;$O$1&amp;"{var myIndicatorType = p_object as "&amp;A102&amp;";}"</f>
        <v>if (p_object.GetType().ToString().Substring(FindAllIndexOfSubStr(".",p_object.GetType().ToString()).Max()+1)=="ConstantLines"){var myIndicatorType = p_object as NinjaTrader.NinjaScript.Indicators.ConstantLines;}</v>
      </c>
    </row>
    <row r="103" hidden="1" spans="1:7">
      <c r="A103" t="s">
        <v>122</v>
      </c>
      <c r="B103" t="s">
        <v>123</v>
      </c>
      <c r="C103" t="s">
        <v>18</v>
      </c>
      <c r="D103" t="s">
        <v>35</v>
      </c>
      <c r="E103" t="s">
        <v>35</v>
      </c>
      <c r="F103" t="s">
        <v>35</v>
      </c>
      <c r="G103" t="s">
        <v>35</v>
      </c>
    </row>
    <row r="104" spans="1:13">
      <c r="A104" t="s">
        <v>124</v>
      </c>
      <c r="B104" t="s">
        <v>125</v>
      </c>
      <c r="M104" t="str">
        <f>$N$1&amp;$B104&amp;$O$1&amp;"{var myIndicatorType = p_object as "&amp;A104&amp;";}"</f>
        <v>if (p_object.GetType().ToString().Substring(FindAllIndexOfSubStr(".",p_object.GetType().ToString()).Max()+1)=="CurrentDayOHL"){var myIndicatorType = p_object as NinjaTrader.NinjaScript.Indicators.CurrentDayOHL;}</v>
      </c>
    </row>
    <row r="105" hidden="1" spans="1:3">
      <c r="A105" t="s">
        <v>124</v>
      </c>
      <c r="B105" t="s">
        <v>125</v>
      </c>
      <c r="C105" t="s">
        <v>18</v>
      </c>
    </row>
    <row r="106" spans="1:13">
      <c r="A106" t="s">
        <v>126</v>
      </c>
      <c r="B106" t="s">
        <v>127</v>
      </c>
      <c r="M106" t="str">
        <f>$N$1&amp;$B106&amp;$O$1&amp;"{var myIndicatorType = p_object as "&amp;A106&amp;";}"</f>
        <v>if (p_object.GetType().ToString().Substring(FindAllIndexOfSubStr(".",p_object.GetType().ToString()).Max()+1)=="Darvas"){var myIndicatorType = p_object as NinjaTrader.NinjaScript.Indicators.Darvas;}</v>
      </c>
    </row>
    <row r="107" hidden="1" spans="1:3">
      <c r="A107" t="s">
        <v>126</v>
      </c>
      <c r="B107" t="s">
        <v>127</v>
      </c>
      <c r="C107" t="s">
        <v>18</v>
      </c>
    </row>
    <row r="108" spans="1:13">
      <c r="A108" t="s">
        <v>128</v>
      </c>
      <c r="B108" t="s">
        <v>129</v>
      </c>
      <c r="C108" t="s">
        <v>17</v>
      </c>
      <c r="M108" t="str">
        <f>$N$1&amp;$B108&amp;$O$1&amp;"{var myIndicatorType = p_object as "&amp;A108&amp;";}"</f>
        <v>if (p_object.GetType().ToString().Substring(FindAllIndexOfSubStr(".",p_object.GetType().ToString()).Max()+1)=="DEMA"){var myIndicatorType = p_object as NinjaTrader.NinjaScript.Indicators.DEMA;}</v>
      </c>
    </row>
    <row r="109" hidden="1" spans="1:4">
      <c r="A109" t="s">
        <v>128</v>
      </c>
      <c r="B109" t="s">
        <v>129</v>
      </c>
      <c r="C109" t="s">
        <v>18</v>
      </c>
      <c r="D109" t="s">
        <v>17</v>
      </c>
    </row>
    <row r="110" spans="1:13">
      <c r="A110" t="s">
        <v>130</v>
      </c>
      <c r="B110" t="s">
        <v>131</v>
      </c>
      <c r="C110" t="s">
        <v>17</v>
      </c>
      <c r="M110" t="str">
        <f>$N$1&amp;$B110&amp;$O$1&amp;"{var myIndicatorType = p_object as "&amp;A110&amp;";}"</f>
        <v>if (p_object.GetType().ToString().Substring(FindAllIndexOfSubStr(".",p_object.GetType().ToString()).Max()+1)=="DM"){var myIndicatorType = p_object as NinjaTrader.NinjaScript.Indicators.DM;}</v>
      </c>
    </row>
    <row r="111" hidden="1" spans="1:4">
      <c r="A111" t="s">
        <v>130</v>
      </c>
      <c r="B111" t="s">
        <v>131</v>
      </c>
      <c r="C111" t="s">
        <v>18</v>
      </c>
      <c r="D111" t="s">
        <v>17</v>
      </c>
    </row>
    <row r="112" spans="1:13">
      <c r="A112" t="s">
        <v>132</v>
      </c>
      <c r="B112" t="s">
        <v>133</v>
      </c>
      <c r="C112" t="s">
        <v>17</v>
      </c>
      <c r="M112" t="str">
        <f>$N$1&amp;$B112&amp;$O$1&amp;"{var myIndicatorType = p_object as "&amp;A112&amp;";}"</f>
        <v>if (p_object.GetType().ToString().Substring(FindAllIndexOfSubStr(".",p_object.GetType().ToString()).Max()+1)=="DMI"){var myIndicatorType = p_object as NinjaTrader.NinjaScript.Indicators.DMI;}</v>
      </c>
    </row>
    <row r="113" hidden="1" spans="1:4">
      <c r="A113" t="s">
        <v>132</v>
      </c>
      <c r="B113" t="s">
        <v>133</v>
      </c>
      <c r="C113" t="s">
        <v>18</v>
      </c>
      <c r="D113" t="s">
        <v>17</v>
      </c>
    </row>
    <row r="114" spans="1:13">
      <c r="A114" t="s">
        <v>134</v>
      </c>
      <c r="B114" t="s">
        <v>135</v>
      </c>
      <c r="C114" t="s">
        <v>17</v>
      </c>
      <c r="M114" t="str">
        <f>$N$1&amp;$B114&amp;$O$1&amp;"{var myIndicatorType = p_object as "&amp;A114&amp;";}"</f>
        <v>if (p_object.GetType().ToString().Substring(FindAllIndexOfSubStr(".",p_object.GetType().ToString()).Max()+1)=="DMIndex"){var myIndicatorType = p_object as NinjaTrader.NinjaScript.Indicators.DMIndex;}</v>
      </c>
    </row>
    <row r="115" hidden="1" spans="1:4">
      <c r="A115" t="s">
        <v>134</v>
      </c>
      <c r="B115" t="s">
        <v>135</v>
      </c>
      <c r="C115" t="s">
        <v>18</v>
      </c>
      <c r="D115" t="s">
        <v>17</v>
      </c>
    </row>
    <row r="116" spans="1:13">
      <c r="A116" t="s">
        <v>136</v>
      </c>
      <c r="B116" t="s">
        <v>137</v>
      </c>
      <c r="C116" t="s">
        <v>17</v>
      </c>
      <c r="M116" t="str">
        <f>$N$1&amp;$B116&amp;$O$1&amp;"{var myIndicatorType = p_object as "&amp;A116&amp;";}"</f>
        <v>if (p_object.GetType().ToString().Substring(FindAllIndexOfSubStr(".",p_object.GetType().ToString()).Max()+1)=="DonchianChannel"){var myIndicatorType = p_object as NinjaTrader.NinjaScript.Indicators.DonchianChannel;}</v>
      </c>
    </row>
    <row r="117" hidden="1" spans="1:4">
      <c r="A117" t="s">
        <v>136</v>
      </c>
      <c r="B117" t="s">
        <v>137</v>
      </c>
      <c r="C117" t="s">
        <v>18</v>
      </c>
      <c r="D117" t="s">
        <v>17</v>
      </c>
    </row>
    <row r="118" spans="1:13">
      <c r="A118" t="s">
        <v>138</v>
      </c>
      <c r="B118" t="s">
        <v>139</v>
      </c>
      <c r="C118" t="s">
        <v>17</v>
      </c>
      <c r="M118" t="str">
        <f>$N$1&amp;$B118&amp;$O$1&amp;"{var myIndicatorType = p_object as "&amp;A118&amp;";}"</f>
        <v>if (p_object.GetType().ToString().Substring(FindAllIndexOfSubStr(".",p_object.GetType().ToString()).Max()+1)=="DoubleStochastics"){var myIndicatorType = p_object as NinjaTrader.NinjaScript.Indicators.DoubleStochastics;}</v>
      </c>
    </row>
    <row r="119" hidden="1" spans="1:4">
      <c r="A119" t="s">
        <v>138</v>
      </c>
      <c r="B119" t="s">
        <v>139</v>
      </c>
      <c r="C119" t="s">
        <v>18</v>
      </c>
      <c r="D119" t="s">
        <v>17</v>
      </c>
    </row>
    <row r="120" spans="1:13">
      <c r="A120" t="s">
        <v>140</v>
      </c>
      <c r="B120" t="s">
        <v>141</v>
      </c>
      <c r="C120" t="s">
        <v>17</v>
      </c>
      <c r="D120" t="s">
        <v>17</v>
      </c>
      <c r="M120" t="str">
        <f>$N$1&amp;$B120&amp;$O$1&amp;"{var myIndicatorType = p_object as "&amp;A120&amp;";}"</f>
        <v>if (p_object.GetType().ToString().Substring(FindAllIndexOfSubStr(".",p_object.GetType().ToString()).Max()+1)=="EaseOfMovement"){var myIndicatorType = p_object as NinjaTrader.NinjaScript.Indicators.EaseOfMovement;}</v>
      </c>
    </row>
    <row r="121" hidden="1" spans="1:5">
      <c r="A121" t="s">
        <v>140</v>
      </c>
      <c r="B121" t="s">
        <v>141</v>
      </c>
      <c r="C121" t="s">
        <v>18</v>
      </c>
      <c r="D121" t="s">
        <v>17</v>
      </c>
      <c r="E121" t="s">
        <v>17</v>
      </c>
    </row>
    <row r="122" spans="1:13">
      <c r="A122" t="s">
        <v>142</v>
      </c>
      <c r="B122" t="s">
        <v>143</v>
      </c>
      <c r="C122" t="s">
        <v>17</v>
      </c>
      <c r="M122" t="str">
        <f>$N$1&amp;$B122&amp;$O$1&amp;"{var myIndicatorType = p_object as "&amp;A122&amp;";}"</f>
        <v>if (p_object.GetType().ToString().Substring(FindAllIndexOfSubStr(".",p_object.GetType().ToString()).Max()+1)=="EMA"){var myIndicatorType = p_object as NinjaTrader.NinjaScript.Indicators.EMA;}</v>
      </c>
    </row>
    <row r="123" hidden="1" spans="1:4">
      <c r="A123" t="s">
        <v>142</v>
      </c>
      <c r="B123" t="s">
        <v>143</v>
      </c>
      <c r="C123" t="s">
        <v>18</v>
      </c>
      <c r="D123" t="s">
        <v>17</v>
      </c>
    </row>
    <row r="124" spans="1:13">
      <c r="A124" t="s">
        <v>144</v>
      </c>
      <c r="B124" t="s">
        <v>145</v>
      </c>
      <c r="C124" t="s">
        <v>17</v>
      </c>
      <c r="M124" t="str">
        <f>$N$1&amp;$B124&amp;$O$1&amp;"{var myIndicatorType = p_object as "&amp;A124&amp;";}"</f>
        <v>if (p_object.GetType().ToString().Substring(FindAllIndexOfSubStr(".",p_object.GetType().ToString()).Max()+1)=="FisherTransform"){var myIndicatorType = p_object as NinjaTrader.NinjaScript.Indicators.FisherTransform;}</v>
      </c>
    </row>
    <row r="125" hidden="1" spans="1:4">
      <c r="A125" t="s">
        <v>144</v>
      </c>
      <c r="B125" t="s">
        <v>145</v>
      </c>
      <c r="C125" t="s">
        <v>18</v>
      </c>
      <c r="D125" t="s">
        <v>17</v>
      </c>
    </row>
    <row r="126" spans="1:13">
      <c r="A126" t="s">
        <v>146</v>
      </c>
      <c r="B126" t="s">
        <v>147</v>
      </c>
      <c r="C126" t="s">
        <v>17</v>
      </c>
      <c r="M126" t="str">
        <f>$N$1&amp;$B126&amp;$O$1&amp;"{var myIndicatorType = p_object as "&amp;A126&amp;";}"</f>
        <v>if (p_object.GetType().ToString().Substring(FindAllIndexOfSubStr(".",p_object.GetType().ToString()).Max()+1)=="FOSC"){var myIndicatorType = p_object as NinjaTrader.NinjaScript.Indicators.FOSC;}</v>
      </c>
    </row>
    <row r="127" hidden="1" spans="1:4">
      <c r="A127" t="s">
        <v>146</v>
      </c>
      <c r="B127" t="s">
        <v>147</v>
      </c>
      <c r="C127" t="s">
        <v>18</v>
      </c>
      <c r="D127" t="s">
        <v>17</v>
      </c>
    </row>
    <row r="128" spans="1:13">
      <c r="A128" t="s">
        <v>148</v>
      </c>
      <c r="B128" t="s">
        <v>149</v>
      </c>
      <c r="C128" t="s">
        <v>17</v>
      </c>
      <c r="M128" t="str">
        <f>$N$1&amp;$B128&amp;$O$1&amp;"{var myIndicatorType = p_object as "&amp;A128&amp;";}"</f>
        <v>if (p_object.GetType().ToString().Substring(FindAllIndexOfSubStr(".",p_object.GetType().ToString()).Max()+1)=="HMA"){var myIndicatorType = p_object as NinjaTrader.NinjaScript.Indicators.HMA;}</v>
      </c>
    </row>
    <row r="129" hidden="1" spans="1:4">
      <c r="A129" t="s">
        <v>148</v>
      </c>
      <c r="B129" t="s">
        <v>149</v>
      </c>
      <c r="C129" t="s">
        <v>18</v>
      </c>
      <c r="D129" t="s">
        <v>17</v>
      </c>
    </row>
    <row r="130" spans="1:13">
      <c r="A130" t="s">
        <v>150</v>
      </c>
      <c r="B130" t="s">
        <v>151</v>
      </c>
      <c r="C130" t="s">
        <v>17</v>
      </c>
      <c r="D130" t="s">
        <v>17</v>
      </c>
      <c r="E130" t="s">
        <v>17</v>
      </c>
      <c r="M130" t="str">
        <f>$N$1&amp;$B130&amp;$O$1&amp;"{var myIndicatorType = p_object as "&amp;A130&amp;";}"</f>
        <v>if (p_object.GetType().ToString().Substring(FindAllIndexOfSubStr(".",p_object.GetType().ToString()).Max()+1)=="KAMA"){var myIndicatorType = p_object as NinjaTrader.NinjaScript.Indicators.KAMA;}</v>
      </c>
    </row>
    <row r="131" hidden="1" spans="1:6">
      <c r="A131" t="s">
        <v>150</v>
      </c>
      <c r="B131" t="s">
        <v>151</v>
      </c>
      <c r="C131" t="s">
        <v>18</v>
      </c>
      <c r="D131" t="s">
        <v>17</v>
      </c>
      <c r="E131" t="s">
        <v>17</v>
      </c>
      <c r="F131" t="s">
        <v>17</v>
      </c>
    </row>
    <row r="132" spans="1:13">
      <c r="A132" t="s">
        <v>152</v>
      </c>
      <c r="B132" t="s">
        <v>153</v>
      </c>
      <c r="C132" t="s">
        <v>35</v>
      </c>
      <c r="D132" t="s">
        <v>17</v>
      </c>
      <c r="M132" t="str">
        <f>$N$1&amp;$B132&amp;$O$1&amp;"{var myIndicatorType = p_object as "&amp;A132&amp;";}"</f>
        <v>if (p_object.GetType().ToString().Substring(FindAllIndexOfSubStr(".",p_object.GetType().ToString()).Max()+1)=="KeltnerChannel"){var myIndicatorType = p_object as NinjaTrader.NinjaScript.Indicators.KeltnerChannel;}</v>
      </c>
    </row>
    <row r="133" hidden="1" spans="1:5">
      <c r="A133" t="s">
        <v>152</v>
      </c>
      <c r="B133" t="s">
        <v>153</v>
      </c>
      <c r="C133" t="s">
        <v>18</v>
      </c>
      <c r="D133" t="s">
        <v>35</v>
      </c>
      <c r="E133" t="s">
        <v>17</v>
      </c>
    </row>
    <row r="134" spans="1:13">
      <c r="A134" t="s">
        <v>154</v>
      </c>
      <c r="B134" t="s">
        <v>155</v>
      </c>
      <c r="C134" t="s">
        <v>17</v>
      </c>
      <c r="M134" t="str">
        <f>$N$1&amp;$B134&amp;$O$1&amp;"{var myIndicatorType = p_object as "&amp;A134&amp;";}"</f>
        <v>if (p_object.GetType().ToString().Substring(FindAllIndexOfSubStr(".",p_object.GetType().ToString()).Max()+1)=="KeyReversalDown"){var myIndicatorType = p_object as NinjaTrader.NinjaScript.Indicators.KeyReversalDown;}</v>
      </c>
    </row>
    <row r="135" hidden="1" spans="1:4">
      <c r="A135" t="s">
        <v>154</v>
      </c>
      <c r="B135" t="s">
        <v>155</v>
      </c>
      <c r="C135" t="s">
        <v>18</v>
      </c>
      <c r="D135" t="s">
        <v>17</v>
      </c>
    </row>
    <row r="136" spans="1:13">
      <c r="A136" t="s">
        <v>156</v>
      </c>
      <c r="B136" t="s">
        <v>157</v>
      </c>
      <c r="C136" t="s">
        <v>17</v>
      </c>
      <c r="M136" t="str">
        <f>$N$1&amp;$B136&amp;$O$1&amp;"{var myIndicatorType = p_object as "&amp;A136&amp;";}"</f>
        <v>if (p_object.GetType().ToString().Substring(FindAllIndexOfSubStr(".",p_object.GetType().ToString()).Max()+1)=="KeyReversalUp"){var myIndicatorType = p_object as NinjaTrader.NinjaScript.Indicators.KeyReversalUp;}</v>
      </c>
    </row>
    <row r="137" hidden="1" spans="1:4">
      <c r="A137" t="s">
        <v>156</v>
      </c>
      <c r="B137" t="s">
        <v>157</v>
      </c>
      <c r="C137" t="s">
        <v>18</v>
      </c>
      <c r="D137" t="s">
        <v>17</v>
      </c>
    </row>
    <row r="138" spans="1:13">
      <c r="A138" t="s">
        <v>158</v>
      </c>
      <c r="B138" t="s">
        <v>159</v>
      </c>
      <c r="C138" t="s">
        <v>17</v>
      </c>
      <c r="M138" t="str">
        <f>$N$1&amp;$B138&amp;$O$1&amp;"{var myIndicatorType = p_object as "&amp;A138&amp;";}"</f>
        <v>if (p_object.GetType().ToString().Substring(FindAllIndexOfSubStr(".",p_object.GetType().ToString()).Max()+1)=="LinReg"){var myIndicatorType = p_object as NinjaTrader.NinjaScript.Indicators.LinReg;}</v>
      </c>
    </row>
    <row r="139" hidden="1" spans="1:4">
      <c r="A139" t="s">
        <v>158</v>
      </c>
      <c r="B139" t="s">
        <v>159</v>
      </c>
      <c r="C139" t="s">
        <v>18</v>
      </c>
      <c r="D139" t="s">
        <v>17</v>
      </c>
    </row>
    <row r="140" spans="1:13">
      <c r="A140" t="s">
        <v>160</v>
      </c>
      <c r="B140" t="s">
        <v>161</v>
      </c>
      <c r="C140" t="s">
        <v>17</v>
      </c>
      <c r="M140" t="str">
        <f>$N$1&amp;$B140&amp;$O$1&amp;"{var myIndicatorType = p_object as "&amp;A140&amp;";}"</f>
        <v>if (p_object.GetType().ToString().Substring(FindAllIndexOfSubStr(".",p_object.GetType().ToString()).Max()+1)=="LinRegIntercept"){var myIndicatorType = p_object as NinjaTrader.NinjaScript.Indicators.LinRegIntercept;}</v>
      </c>
    </row>
    <row r="141" hidden="1" spans="1:4">
      <c r="A141" t="s">
        <v>160</v>
      </c>
      <c r="B141" t="s">
        <v>161</v>
      </c>
      <c r="C141" t="s">
        <v>18</v>
      </c>
      <c r="D141" t="s">
        <v>17</v>
      </c>
    </row>
    <row r="142" spans="1:13">
      <c r="A142" t="s">
        <v>162</v>
      </c>
      <c r="B142" t="s">
        <v>163</v>
      </c>
      <c r="C142" t="s">
        <v>17</v>
      </c>
      <c r="M142" t="str">
        <f>$N$1&amp;$B142&amp;$O$1&amp;"{var myIndicatorType = p_object as "&amp;A142&amp;";}"</f>
        <v>if (p_object.GetType().ToString().Substring(FindAllIndexOfSubStr(".",p_object.GetType().ToString()).Max()+1)=="LinRegSlope"){var myIndicatorType = p_object as NinjaTrader.NinjaScript.Indicators.LinRegSlope;}</v>
      </c>
    </row>
    <row r="143" hidden="1" spans="1:4">
      <c r="A143" t="s">
        <v>162</v>
      </c>
      <c r="B143" t="s">
        <v>163</v>
      </c>
      <c r="C143" t="s">
        <v>18</v>
      </c>
      <c r="D143" t="s">
        <v>17</v>
      </c>
    </row>
    <row r="144" spans="1:13">
      <c r="A144" t="s">
        <v>164</v>
      </c>
      <c r="B144" t="s">
        <v>165</v>
      </c>
      <c r="C144" t="s">
        <v>17</v>
      </c>
      <c r="D144" t="s">
        <v>17</v>
      </c>
      <c r="E144" t="s">
        <v>17</v>
      </c>
      <c r="M144" t="str">
        <f>$N$1&amp;$B144&amp;$O$1&amp;"{var myIndicatorType = p_object as "&amp;A144&amp;";}"</f>
        <v>if (p_object.GetType().ToString().Substring(FindAllIndexOfSubStr(".",p_object.GetType().ToString()).Max()+1)=="MACD"){var myIndicatorType = p_object as NinjaTrader.NinjaScript.Indicators.MACD;}</v>
      </c>
    </row>
    <row r="145" hidden="1" spans="1:6">
      <c r="A145" t="s">
        <v>164</v>
      </c>
      <c r="B145" t="s">
        <v>165</v>
      </c>
      <c r="C145" t="s">
        <v>18</v>
      </c>
      <c r="D145" t="s">
        <v>17</v>
      </c>
      <c r="E145" t="s">
        <v>17</v>
      </c>
      <c r="F145" t="s">
        <v>17</v>
      </c>
    </row>
    <row r="146" spans="1:13">
      <c r="A146" t="s">
        <v>166</v>
      </c>
      <c r="B146" t="s">
        <v>167</v>
      </c>
      <c r="C146" t="s">
        <v>35</v>
      </c>
      <c r="D146" t="s">
        <v>17</v>
      </c>
      <c r="E146" t="s">
        <v>17</v>
      </c>
      <c r="M146" t="str">
        <f>$N$1&amp;$B146&amp;$O$1&amp;"{var myIndicatorType = p_object as "&amp;A146&amp;";}"</f>
        <v>if (p_object.GetType().ToString().Substring(FindAllIndexOfSubStr(".",p_object.GetType().ToString()).Max()+1)=="MAEnvelopes"){var myIndicatorType = p_object as NinjaTrader.NinjaScript.Indicators.MAEnvelopes;}</v>
      </c>
    </row>
    <row r="147" hidden="1" spans="1:6">
      <c r="A147" t="s">
        <v>166</v>
      </c>
      <c r="B147" t="s">
        <v>167</v>
      </c>
      <c r="C147" t="s">
        <v>18</v>
      </c>
      <c r="D147" t="s">
        <v>35</v>
      </c>
      <c r="E147" t="s">
        <v>17</v>
      </c>
      <c r="F147" t="s">
        <v>17</v>
      </c>
    </row>
    <row r="148" spans="1:13">
      <c r="A148" t="s">
        <v>168</v>
      </c>
      <c r="B148" t="s">
        <v>169</v>
      </c>
      <c r="C148" t="s">
        <v>35</v>
      </c>
      <c r="D148" t="s">
        <v>35</v>
      </c>
      <c r="M148" t="str">
        <f>$N$1&amp;$B148&amp;$O$1&amp;"{var myIndicatorType = p_object as "&amp;A148&amp;";}"</f>
        <v>if (p_object.GetType().ToString().Substring(FindAllIndexOfSubStr(".",p_object.GetType().ToString()).Max()+1)=="MAMA"){var myIndicatorType = p_object as NinjaTrader.NinjaScript.Indicators.MAMA;}</v>
      </c>
    </row>
    <row r="149" hidden="1" spans="1:5">
      <c r="A149" t="s">
        <v>168</v>
      </c>
      <c r="B149" t="s">
        <v>169</v>
      </c>
      <c r="C149" t="s">
        <v>18</v>
      </c>
      <c r="D149" t="s">
        <v>35</v>
      </c>
      <c r="E149" t="s">
        <v>35</v>
      </c>
    </row>
    <row r="150" spans="1:13">
      <c r="A150" t="s">
        <v>170</v>
      </c>
      <c r="B150" t="s">
        <v>171</v>
      </c>
      <c r="C150" t="s">
        <v>17</v>
      </c>
      <c r="M150" t="str">
        <f>$N$1&amp;$B150&amp;$O$1&amp;"{var myIndicatorType = p_object as "&amp;A150&amp;";}"</f>
        <v>if (p_object.GetType().ToString().Substring(FindAllIndexOfSubStr(".",p_object.GetType().ToString()).Max()+1)=="MAX"){var myIndicatorType = p_object as NinjaTrader.NinjaScript.Indicators.MAX;}</v>
      </c>
    </row>
    <row r="151" hidden="1" spans="1:4">
      <c r="A151" t="s">
        <v>170</v>
      </c>
      <c r="B151" t="s">
        <v>171</v>
      </c>
      <c r="C151" t="s">
        <v>18</v>
      </c>
      <c r="D151" t="s">
        <v>17</v>
      </c>
    </row>
    <row r="152" spans="1:13">
      <c r="A152" t="s">
        <v>172</v>
      </c>
      <c r="B152" t="s">
        <v>173</v>
      </c>
      <c r="C152" t="s">
        <v>17</v>
      </c>
      <c r="M152" t="str">
        <f>$N$1&amp;$B152&amp;$O$1&amp;"{var myIndicatorType = p_object as "&amp;A152&amp;";}"</f>
        <v>if (p_object.GetType().ToString().Substring(FindAllIndexOfSubStr(".",p_object.GetType().ToString()).Max()+1)=="MFI"){var myIndicatorType = p_object as NinjaTrader.NinjaScript.Indicators.MFI;}</v>
      </c>
    </row>
    <row r="153" hidden="1" spans="1:4">
      <c r="A153" t="s">
        <v>172</v>
      </c>
      <c r="B153" t="s">
        <v>173</v>
      </c>
      <c r="C153" t="s">
        <v>18</v>
      </c>
      <c r="D153" t="s">
        <v>17</v>
      </c>
    </row>
    <row r="154" spans="1:13">
      <c r="A154" t="s">
        <v>174</v>
      </c>
      <c r="B154" t="s">
        <v>175</v>
      </c>
      <c r="C154" t="s">
        <v>17</v>
      </c>
      <c r="M154" t="str">
        <f>$N$1&amp;$B154&amp;$O$1&amp;"{var myIndicatorType = p_object as "&amp;A154&amp;";}"</f>
        <v>if (p_object.GetType().ToString().Substring(FindAllIndexOfSubStr(".",p_object.GetType().ToString()).Max()+1)=="MIN"){var myIndicatorType = p_object as NinjaTrader.NinjaScript.Indicators.MIN;}</v>
      </c>
    </row>
    <row r="155" hidden="1" spans="1:4">
      <c r="A155" t="s">
        <v>174</v>
      </c>
      <c r="B155" t="s">
        <v>175</v>
      </c>
      <c r="C155" t="s">
        <v>18</v>
      </c>
      <c r="D155" t="s">
        <v>17</v>
      </c>
    </row>
    <row r="156" spans="1:13">
      <c r="A156" t="s">
        <v>176</v>
      </c>
      <c r="B156" t="s">
        <v>177</v>
      </c>
      <c r="C156" t="s">
        <v>17</v>
      </c>
      <c r="M156" t="str">
        <f>$N$1&amp;$B156&amp;$O$1&amp;"{var myIndicatorType = p_object as "&amp;A156&amp;";}"</f>
        <v>if (p_object.GetType().ToString().Substring(FindAllIndexOfSubStr(".",p_object.GetType().ToString()).Max()+1)=="Momentum"){var myIndicatorType = p_object as NinjaTrader.NinjaScript.Indicators.Momentum;}</v>
      </c>
    </row>
    <row r="157" hidden="1" spans="1:4">
      <c r="A157" t="s">
        <v>176</v>
      </c>
      <c r="B157" t="s">
        <v>177</v>
      </c>
      <c r="C157" t="s">
        <v>18</v>
      </c>
      <c r="D157" t="s">
        <v>17</v>
      </c>
    </row>
    <row r="158" spans="1:13">
      <c r="A158" t="s">
        <v>178</v>
      </c>
      <c r="B158" t="s">
        <v>179</v>
      </c>
      <c r="C158" t="s">
        <v>17</v>
      </c>
      <c r="D158" t="s">
        <v>40</v>
      </c>
      <c r="E158" t="s">
        <v>40</v>
      </c>
      <c r="F158" t="s">
        <v>40</v>
      </c>
      <c r="M158" t="str">
        <f>$N$1&amp;$B158&amp;$O$1&amp;"{var myIndicatorType = p_object as "&amp;A158&amp;";}"</f>
        <v>if (p_object.GetType().ToString().Substring(FindAllIndexOfSubStr(".",p_object.GetType().ToString()).Max()+1)=="NBarsDown"){var myIndicatorType = p_object as NinjaTrader.NinjaScript.Indicators.NBarsDown;}</v>
      </c>
    </row>
    <row r="159" hidden="1" spans="1:7">
      <c r="A159" t="s">
        <v>178</v>
      </c>
      <c r="B159" t="s">
        <v>179</v>
      </c>
      <c r="C159" t="s">
        <v>18</v>
      </c>
      <c r="D159" t="s">
        <v>17</v>
      </c>
      <c r="E159" t="s">
        <v>40</v>
      </c>
      <c r="F159" t="s">
        <v>40</v>
      </c>
      <c r="G159" t="s">
        <v>40</v>
      </c>
    </row>
    <row r="160" spans="1:13">
      <c r="A160" t="s">
        <v>180</v>
      </c>
      <c r="B160" t="s">
        <v>181</v>
      </c>
      <c r="C160" t="s">
        <v>17</v>
      </c>
      <c r="D160" t="s">
        <v>40</v>
      </c>
      <c r="E160" t="s">
        <v>40</v>
      </c>
      <c r="F160" t="s">
        <v>40</v>
      </c>
      <c r="M160" t="str">
        <f>$N$1&amp;$B160&amp;$O$1&amp;"{var myIndicatorType = p_object as "&amp;A160&amp;";}"</f>
        <v>if (p_object.GetType().ToString().Substring(FindAllIndexOfSubStr(".",p_object.GetType().ToString()).Max()+1)=="NBarsUp"){var myIndicatorType = p_object as NinjaTrader.NinjaScript.Indicators.NBarsUp;}</v>
      </c>
    </row>
    <row r="161" hidden="1" spans="1:7">
      <c r="A161" t="s">
        <v>180</v>
      </c>
      <c r="B161" t="s">
        <v>181</v>
      </c>
      <c r="C161" t="s">
        <v>18</v>
      </c>
      <c r="D161" t="s">
        <v>17</v>
      </c>
      <c r="E161" t="s">
        <v>40</v>
      </c>
      <c r="F161" t="s">
        <v>40</v>
      </c>
      <c r="G161" t="s">
        <v>40</v>
      </c>
    </row>
    <row r="162" spans="1:13">
      <c r="A162" t="s">
        <v>182</v>
      </c>
      <c r="B162" t="s">
        <v>183</v>
      </c>
      <c r="M162" t="str">
        <f>$N$1&amp;$B162&amp;$O$1&amp;"{var myIndicatorType = p_object as "&amp;A162&amp;";}"</f>
        <v>if (p_object.GetType().ToString().Substring(FindAllIndexOfSubStr(".",p_object.GetType().ToString()).Max()+1)=="OBV"){var myIndicatorType = p_object as NinjaTrader.NinjaScript.Indicators.OBV;}</v>
      </c>
    </row>
    <row r="163" hidden="1" spans="1:3">
      <c r="A163" t="s">
        <v>182</v>
      </c>
      <c r="B163" t="s">
        <v>183</v>
      </c>
      <c r="C163" t="s">
        <v>18</v>
      </c>
    </row>
    <row r="164" spans="1:13">
      <c r="A164" t="s">
        <v>184</v>
      </c>
      <c r="B164" t="s">
        <v>185</v>
      </c>
      <c r="C164" t="s">
        <v>35</v>
      </c>
      <c r="D164" t="s">
        <v>35</v>
      </c>
      <c r="E164" t="s">
        <v>35</v>
      </c>
      <c r="M164" t="str">
        <f>$N$1&amp;$B164&amp;$O$1&amp;"{var myIndicatorType = p_object as "&amp;A164&amp;";}"</f>
        <v>if (p_object.GetType().ToString().Substring(FindAllIndexOfSubStr(".",p_object.GetType().ToString()).Max()+1)=="ParabolicSAR"){var myIndicatorType = p_object as NinjaTrader.NinjaScript.Indicators.ParabolicSAR;}</v>
      </c>
    </row>
    <row r="165" hidden="1" spans="1:6">
      <c r="A165" t="s">
        <v>184</v>
      </c>
      <c r="B165" t="s">
        <v>185</v>
      </c>
      <c r="C165" t="s">
        <v>18</v>
      </c>
      <c r="D165" t="s">
        <v>35</v>
      </c>
      <c r="E165" t="s">
        <v>35</v>
      </c>
      <c r="F165" t="s">
        <v>35</v>
      </c>
    </row>
    <row r="166" spans="1:13">
      <c r="A166" t="s">
        <v>186</v>
      </c>
      <c r="B166" t="s">
        <v>187</v>
      </c>
      <c r="C166" t="s">
        <v>17</v>
      </c>
      <c r="D166" t="s">
        <v>17</v>
      </c>
      <c r="M166" t="str">
        <f>$N$1&amp;$B166&amp;$O$1&amp;"{var myIndicatorType = p_object as "&amp;A166&amp;";}"</f>
        <v>if (p_object.GetType().ToString().Substring(FindAllIndexOfSubStr(".",p_object.GetType().ToString()).Max()+1)=="PFE"){var myIndicatorType = p_object as NinjaTrader.NinjaScript.Indicators.PFE;}</v>
      </c>
    </row>
    <row r="167" hidden="1" spans="1:5">
      <c r="A167" t="s">
        <v>186</v>
      </c>
      <c r="B167" t="s">
        <v>187</v>
      </c>
      <c r="C167" t="s">
        <v>18</v>
      </c>
      <c r="D167" t="s">
        <v>17</v>
      </c>
      <c r="E167" t="s">
        <v>17</v>
      </c>
    </row>
    <row r="168" spans="1:13">
      <c r="A168" t="s">
        <v>188</v>
      </c>
      <c r="B168" t="s">
        <v>189</v>
      </c>
      <c r="C168" t="s">
        <v>190</v>
      </c>
      <c r="D168" t="s">
        <v>191</v>
      </c>
      <c r="E168" t="s">
        <v>35</v>
      </c>
      <c r="F168" t="s">
        <v>35</v>
      </c>
      <c r="G168" t="s">
        <v>35</v>
      </c>
      <c r="H168" t="s">
        <v>17</v>
      </c>
      <c r="M168" t="str">
        <f>$N$1&amp;$B168&amp;$O$1&amp;"{var myIndicatorType = p_object as "&amp;A168&amp;";}"</f>
        <v>if (p_object.GetType().ToString().Substring(FindAllIndexOfSubStr(".",p_object.GetType().ToString()).Max()+1)=="Pivots"){var myIndicatorType = p_object as NinjaTrader.NinjaScript.Indicators.Pivots;}</v>
      </c>
    </row>
    <row r="169" hidden="1" spans="1:9">
      <c r="A169" t="s">
        <v>188</v>
      </c>
      <c r="B169" t="s">
        <v>189</v>
      </c>
      <c r="C169" t="s">
        <v>18</v>
      </c>
      <c r="D169" t="s">
        <v>190</v>
      </c>
      <c r="E169" t="s">
        <v>191</v>
      </c>
      <c r="F169" t="s">
        <v>35</v>
      </c>
      <c r="G169" t="s">
        <v>35</v>
      </c>
      <c r="H169" t="s">
        <v>35</v>
      </c>
      <c r="I169" t="s">
        <v>17</v>
      </c>
    </row>
    <row r="170" spans="1:13">
      <c r="A170" t="s">
        <v>192</v>
      </c>
      <c r="B170" t="s">
        <v>193</v>
      </c>
      <c r="C170" t="s">
        <v>17</v>
      </c>
      <c r="D170" t="s">
        <v>17</v>
      </c>
      <c r="E170" t="s">
        <v>17</v>
      </c>
      <c r="M170" t="str">
        <f>$N$1&amp;$B170&amp;$O$1&amp;"{var myIndicatorType = p_object as "&amp;A170&amp;";}"</f>
        <v>if (p_object.GetType().ToString().Substring(FindAllIndexOfSubStr(".",p_object.GetType().ToString()).Max()+1)=="PPO"){var myIndicatorType = p_object as NinjaTrader.NinjaScript.Indicators.PPO;}</v>
      </c>
    </row>
    <row r="171" hidden="1" spans="1:6">
      <c r="A171" t="s">
        <v>192</v>
      </c>
      <c r="B171" t="s">
        <v>193</v>
      </c>
      <c r="C171" t="s">
        <v>18</v>
      </c>
      <c r="D171" t="s">
        <v>17</v>
      </c>
      <c r="E171" t="s">
        <v>17</v>
      </c>
      <c r="F171" t="s">
        <v>17</v>
      </c>
    </row>
    <row r="172" spans="1:13">
      <c r="A172" t="s">
        <v>194</v>
      </c>
      <c r="B172" t="s">
        <v>195</v>
      </c>
      <c r="C172" t="s">
        <v>17</v>
      </c>
      <c r="D172" t="s">
        <v>17</v>
      </c>
      <c r="E172" t="s">
        <v>17</v>
      </c>
      <c r="M172" t="str">
        <f>$N$1&amp;$B172&amp;$O$1&amp;"{var myIndicatorType = p_object as "&amp;A172&amp;";}"</f>
        <v>if (p_object.GetType().ToString().Substring(FindAllIndexOfSubStr(".",p_object.GetType().ToString()).Max()+1)=="PriceOscillator"){var myIndicatorType = p_object as NinjaTrader.NinjaScript.Indicators.PriceOscillator;}</v>
      </c>
    </row>
    <row r="173" hidden="1" spans="1:6">
      <c r="A173" t="s">
        <v>194</v>
      </c>
      <c r="B173" t="s">
        <v>195</v>
      </c>
      <c r="C173" t="s">
        <v>18</v>
      </c>
      <c r="D173" t="s">
        <v>17</v>
      </c>
      <c r="E173" t="s">
        <v>17</v>
      </c>
      <c r="F173" t="s">
        <v>17</v>
      </c>
    </row>
    <row r="174" spans="1:13">
      <c r="A174" t="s">
        <v>196</v>
      </c>
      <c r="B174" t="s">
        <v>197</v>
      </c>
      <c r="M174" t="str">
        <f>$N$1&amp;$B174&amp;$O$1&amp;"{var myIndicatorType = p_object as "&amp;A174&amp;";}"</f>
        <v>if (p_object.GetType().ToString().Substring(FindAllIndexOfSubStr(".",p_object.GetType().ToString()).Max()+1)=="PriorDayOHLC"){var myIndicatorType = p_object as NinjaTrader.NinjaScript.Indicators.PriorDayOHLC;}</v>
      </c>
    </row>
    <row r="175" hidden="1" spans="1:3">
      <c r="A175" t="s">
        <v>196</v>
      </c>
      <c r="B175" t="s">
        <v>197</v>
      </c>
      <c r="C175" t="s">
        <v>18</v>
      </c>
    </row>
    <row r="176" spans="1:13">
      <c r="A176" t="s">
        <v>198</v>
      </c>
      <c r="B176" t="s">
        <v>199</v>
      </c>
      <c r="M176" t="str">
        <f>$N$1&amp;$B176&amp;$O$1&amp;"{var myIndicatorType = p_object as "&amp;A176&amp;";}"</f>
        <v>if (p_object.GetType().ToString().Substring(FindAllIndexOfSubStr(".",p_object.GetType().ToString()).Max()+1)=="Range"){var myIndicatorType = p_object as NinjaTrader.NinjaScript.Indicators.Range;}</v>
      </c>
    </row>
    <row r="177" hidden="1" spans="1:3">
      <c r="A177" t="s">
        <v>198</v>
      </c>
      <c r="B177" t="s">
        <v>199</v>
      </c>
      <c r="C177" t="s">
        <v>18</v>
      </c>
    </row>
    <row r="178" spans="1:13">
      <c r="A178" t="s">
        <v>200</v>
      </c>
      <c r="B178" t="s">
        <v>201</v>
      </c>
      <c r="C178" t="s">
        <v>40</v>
      </c>
      <c r="M178" t="str">
        <f>$N$1&amp;$B178&amp;$O$1&amp;"{var myIndicatorType = p_object as "&amp;A178&amp;";}"</f>
        <v>if (p_object.GetType().ToString().Substring(FindAllIndexOfSubStr(".",p_object.GetType().ToString()).Max()+1)=="RangeCounter"){var myIndicatorType = p_object as NinjaTrader.NinjaScript.Indicators.RangeCounter;}</v>
      </c>
    </row>
    <row r="179" hidden="1" spans="1:4">
      <c r="A179" t="s">
        <v>200</v>
      </c>
      <c r="B179" t="s">
        <v>201</v>
      </c>
      <c r="C179" t="s">
        <v>18</v>
      </c>
      <c r="D179" t="s">
        <v>40</v>
      </c>
    </row>
    <row r="180" spans="1:13">
      <c r="A180" t="s">
        <v>202</v>
      </c>
      <c r="B180" t="s">
        <v>203</v>
      </c>
      <c r="C180" t="s">
        <v>17</v>
      </c>
      <c r="D180" t="s">
        <v>35</v>
      </c>
      <c r="M180" t="str">
        <f>$N$1&amp;$B180&amp;$O$1&amp;"{var myIndicatorType = p_object as "&amp;A180&amp;";}"</f>
        <v>if (p_object.GetType().ToString().Substring(FindAllIndexOfSubStr(".",p_object.GetType().ToString()).Max()+1)=="RegressionChannel"){var myIndicatorType = p_object as NinjaTrader.NinjaScript.Indicators.RegressionChannel;}</v>
      </c>
    </row>
    <row r="181" hidden="1" spans="1:5">
      <c r="A181" t="s">
        <v>202</v>
      </c>
      <c r="B181" t="s">
        <v>203</v>
      </c>
      <c r="C181" t="s">
        <v>18</v>
      </c>
      <c r="D181" t="s">
        <v>17</v>
      </c>
      <c r="E181" t="s">
        <v>35</v>
      </c>
    </row>
    <row r="182" spans="1:13">
      <c r="A182" t="s">
        <v>204</v>
      </c>
      <c r="B182" t="s">
        <v>205</v>
      </c>
      <c r="C182" t="s">
        <v>17</v>
      </c>
      <c r="D182" t="s">
        <v>17</v>
      </c>
      <c r="M182" t="str">
        <f>$N$1&amp;$B182&amp;$O$1&amp;"{var myIndicatorType = p_object as "&amp;A182&amp;";}"</f>
        <v>if (p_object.GetType().ToString().Substring(FindAllIndexOfSubStr(".",p_object.GetType().ToString()).Max()+1)=="RIND"){var myIndicatorType = p_object as NinjaTrader.NinjaScript.Indicators.RIND;}</v>
      </c>
    </row>
    <row r="183" hidden="1" spans="1:5">
      <c r="A183" t="s">
        <v>204</v>
      </c>
      <c r="B183" t="s">
        <v>205</v>
      </c>
      <c r="C183" t="s">
        <v>18</v>
      </c>
      <c r="D183" t="s">
        <v>17</v>
      </c>
      <c r="E183" t="s">
        <v>17</v>
      </c>
    </row>
    <row r="184" spans="1:13">
      <c r="A184" t="s">
        <v>206</v>
      </c>
      <c r="B184" t="s">
        <v>207</v>
      </c>
      <c r="C184" t="s">
        <v>17</v>
      </c>
      <c r="M184" t="str">
        <f>$N$1&amp;$B184&amp;$O$1&amp;"{var myIndicatorType = p_object as "&amp;A184&amp;";}"</f>
        <v>if (p_object.GetType().ToString().Substring(FindAllIndexOfSubStr(".",p_object.GetType().ToString()).Max()+1)=="ROC"){var myIndicatorType = p_object as NinjaTrader.NinjaScript.Indicators.ROC;}</v>
      </c>
    </row>
    <row r="185" hidden="1" spans="1:4">
      <c r="A185" t="s">
        <v>206</v>
      </c>
      <c r="B185" t="s">
        <v>207</v>
      </c>
      <c r="C185" t="s">
        <v>18</v>
      </c>
      <c r="D185" t="s">
        <v>17</v>
      </c>
    </row>
    <row r="186" spans="1:13">
      <c r="A186" t="s">
        <v>208</v>
      </c>
      <c r="B186" t="s">
        <v>209</v>
      </c>
      <c r="C186" t="s">
        <v>17</v>
      </c>
      <c r="D186" t="s">
        <v>17</v>
      </c>
      <c r="M186" t="str">
        <f>$N$1&amp;$B186&amp;$O$1&amp;"{var myIndicatorType = p_object as "&amp;A186&amp;";}"</f>
        <v>if (p_object.GetType().ToString().Substring(FindAllIndexOfSubStr(".",p_object.GetType().ToString()).Max()+1)=="RSI"){var myIndicatorType = p_object as NinjaTrader.NinjaScript.Indicators.RSI;}</v>
      </c>
    </row>
    <row r="187" hidden="1" spans="1:5">
      <c r="A187" t="s">
        <v>208</v>
      </c>
      <c r="B187" t="s">
        <v>209</v>
      </c>
      <c r="C187" t="s">
        <v>18</v>
      </c>
      <c r="D187" t="s">
        <v>17</v>
      </c>
      <c r="E187" t="s">
        <v>17</v>
      </c>
    </row>
    <row r="188" spans="1:13">
      <c r="A188" t="s">
        <v>210</v>
      </c>
      <c r="B188" t="s">
        <v>211</v>
      </c>
      <c r="C188" t="s">
        <v>17</v>
      </c>
      <c r="M188" t="str">
        <f>$N$1&amp;$B188&amp;$O$1&amp;"{var myIndicatorType = p_object as "&amp;A188&amp;";}"</f>
        <v>if (p_object.GetType().ToString().Substring(FindAllIndexOfSubStr(".",p_object.GetType().ToString()).Max()+1)=="RSquared"){var myIndicatorType = p_object as NinjaTrader.NinjaScript.Indicators.RSquared;}</v>
      </c>
    </row>
    <row r="189" hidden="1" spans="1:4">
      <c r="A189" t="s">
        <v>210</v>
      </c>
      <c r="B189" t="s">
        <v>211</v>
      </c>
      <c r="C189" t="s">
        <v>18</v>
      </c>
      <c r="D189" t="s">
        <v>17</v>
      </c>
    </row>
    <row r="190" spans="1:13">
      <c r="A190" t="s">
        <v>212</v>
      </c>
      <c r="B190" t="s">
        <v>213</v>
      </c>
      <c r="C190" t="s">
        <v>17</v>
      </c>
      <c r="D190" t="s">
        <v>17</v>
      </c>
      <c r="E190" t="s">
        <v>17</v>
      </c>
      <c r="M190" t="str">
        <f>$N$1&amp;$B190&amp;$O$1&amp;"{var myIndicatorType = p_object as "&amp;A190&amp;";}"</f>
        <v>if (p_object.GetType().ToString().Substring(FindAllIndexOfSubStr(".",p_object.GetType().ToString()).Max()+1)=="RSS"){var myIndicatorType = p_object as NinjaTrader.NinjaScript.Indicators.RSS;}</v>
      </c>
    </row>
    <row r="191" hidden="1" spans="1:6">
      <c r="A191" t="s">
        <v>212</v>
      </c>
      <c r="B191" t="s">
        <v>213</v>
      </c>
      <c r="C191" t="s">
        <v>18</v>
      </c>
      <c r="D191" t="s">
        <v>17</v>
      </c>
      <c r="E191" t="s">
        <v>17</v>
      </c>
      <c r="F191" t="s">
        <v>17</v>
      </c>
    </row>
    <row r="192" spans="1:13">
      <c r="A192" t="s">
        <v>214</v>
      </c>
      <c r="B192" t="s">
        <v>215</v>
      </c>
      <c r="C192" t="s">
        <v>17</v>
      </c>
      <c r="M192" t="str">
        <f>$N$1&amp;$B192&amp;$O$1&amp;"{var myIndicatorType = p_object as "&amp;A192&amp;";}"</f>
        <v>if (p_object.GetType().ToString().Substring(FindAllIndexOfSubStr(".",p_object.GetType().ToString()).Max()+1)=="RVI"){var myIndicatorType = p_object as NinjaTrader.NinjaScript.Indicators.RVI;}</v>
      </c>
    </row>
    <row r="193" hidden="1" spans="1:4">
      <c r="A193" t="s">
        <v>214</v>
      </c>
      <c r="B193" t="s">
        <v>215</v>
      </c>
      <c r="C193" t="s">
        <v>18</v>
      </c>
      <c r="D193" t="s">
        <v>17</v>
      </c>
    </row>
  </sheetData>
  <autoFilter ref="A1:L193">
    <filterColumn colId="2">
      <customFilters>
        <customFilter operator="notEqual" val="*series*"/>
      </customFilters>
    </filterColumn>
  </autoFilter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96"/>
  <sheetViews>
    <sheetView workbookViewId="0">
      <selection activeCell="A1" sqref="A1:A96"/>
    </sheetView>
  </sheetViews>
  <sheetFormatPr defaultColWidth="9" defaultRowHeight="14.25"/>
  <sheetData>
    <row r="1" spans="1:1">
      <c r="A1" t="s">
        <v>216</v>
      </c>
    </row>
    <row r="2" spans="1:1">
      <c r="A2" t="s">
        <v>217</v>
      </c>
    </row>
    <row r="3" spans="1:1">
      <c r="A3" t="s">
        <v>218</v>
      </c>
    </row>
    <row r="4" spans="1:1">
      <c r="A4" t="s">
        <v>219</v>
      </c>
    </row>
    <row r="5" spans="1:1">
      <c r="A5" t="s">
        <v>220</v>
      </c>
    </row>
    <row r="6" spans="1:1">
      <c r="A6" t="s">
        <v>221</v>
      </c>
    </row>
    <row r="7" spans="1:1">
      <c r="A7" t="s">
        <v>222</v>
      </c>
    </row>
    <row r="8" spans="1:1">
      <c r="A8" t="s">
        <v>223</v>
      </c>
    </row>
    <row r="9" spans="1:1">
      <c r="A9" t="s">
        <v>224</v>
      </c>
    </row>
    <row r="10" spans="1:1">
      <c r="A10" t="s">
        <v>225</v>
      </c>
    </row>
    <row r="11" spans="1:1">
      <c r="A11" t="s">
        <v>226</v>
      </c>
    </row>
    <row r="12" spans="1:1">
      <c r="A12" t="s">
        <v>227</v>
      </c>
    </row>
    <row r="13" spans="1:1">
      <c r="A13" t="s">
        <v>228</v>
      </c>
    </row>
    <row r="14" spans="1:1">
      <c r="A14" t="s">
        <v>229</v>
      </c>
    </row>
    <row r="15" spans="1:1">
      <c r="A15" t="s">
        <v>230</v>
      </c>
    </row>
    <row r="16" spans="1:1">
      <c r="A16" t="s">
        <v>231</v>
      </c>
    </row>
    <row r="17" spans="1:1">
      <c r="A17" t="s">
        <v>232</v>
      </c>
    </row>
    <row r="18" spans="1:1">
      <c r="A18" t="s">
        <v>233</v>
      </c>
    </row>
    <row r="19" spans="1:1">
      <c r="A19" t="s">
        <v>234</v>
      </c>
    </row>
    <row r="20" spans="1:1">
      <c r="A20" t="s">
        <v>235</v>
      </c>
    </row>
    <row r="21" spans="1:1">
      <c r="A21" t="s">
        <v>236</v>
      </c>
    </row>
    <row r="22" spans="1:1">
      <c r="A22" t="s">
        <v>237</v>
      </c>
    </row>
    <row r="23" spans="1:1">
      <c r="A23" t="s">
        <v>238</v>
      </c>
    </row>
    <row r="24" spans="1:1">
      <c r="A24" t="s">
        <v>239</v>
      </c>
    </row>
    <row r="25" spans="1:1">
      <c r="A25" t="s">
        <v>240</v>
      </c>
    </row>
    <row r="26" spans="1:1">
      <c r="A26" t="s">
        <v>241</v>
      </c>
    </row>
    <row r="27" spans="1:1">
      <c r="A27" t="s">
        <v>242</v>
      </c>
    </row>
    <row r="28" spans="1:1">
      <c r="A28" t="s">
        <v>243</v>
      </c>
    </row>
    <row r="29" spans="1:1">
      <c r="A29" t="s">
        <v>244</v>
      </c>
    </row>
    <row r="30" spans="1:1">
      <c r="A30" t="s">
        <v>245</v>
      </c>
    </row>
    <row r="31" spans="1:1">
      <c r="A31" t="s">
        <v>246</v>
      </c>
    </row>
    <row r="32" spans="1:1">
      <c r="A32" t="s">
        <v>247</v>
      </c>
    </row>
    <row r="33" spans="1:1">
      <c r="A33" t="s">
        <v>248</v>
      </c>
    </row>
    <row r="34" spans="1:1">
      <c r="A34" t="s">
        <v>249</v>
      </c>
    </row>
    <row r="35" spans="1:1">
      <c r="A35" t="s">
        <v>250</v>
      </c>
    </row>
    <row r="36" spans="1:1">
      <c r="A36" t="s">
        <v>251</v>
      </c>
    </row>
    <row r="37" spans="1:1">
      <c r="A37" t="s">
        <v>252</v>
      </c>
    </row>
    <row r="38" spans="1:1">
      <c r="A38" t="s">
        <v>253</v>
      </c>
    </row>
    <row r="39" spans="1:1">
      <c r="A39" t="s">
        <v>254</v>
      </c>
    </row>
    <row r="40" spans="1:1">
      <c r="A40" t="s">
        <v>255</v>
      </c>
    </row>
    <row r="41" spans="1:1">
      <c r="A41" t="s">
        <v>256</v>
      </c>
    </row>
    <row r="42" spans="1:1">
      <c r="A42" t="s">
        <v>257</v>
      </c>
    </row>
    <row r="43" spans="1:1">
      <c r="A43" t="s">
        <v>258</v>
      </c>
    </row>
    <row r="44" spans="1:1">
      <c r="A44" t="s">
        <v>259</v>
      </c>
    </row>
    <row r="45" spans="1:1">
      <c r="A45" t="s">
        <v>260</v>
      </c>
    </row>
    <row r="46" spans="1:1">
      <c r="A46" t="s">
        <v>261</v>
      </c>
    </row>
    <row r="47" spans="1:1">
      <c r="A47" t="s">
        <v>262</v>
      </c>
    </row>
    <row r="48" spans="1:1">
      <c r="A48" t="s">
        <v>263</v>
      </c>
    </row>
    <row r="49" spans="1:1">
      <c r="A49" t="s">
        <v>264</v>
      </c>
    </row>
    <row r="50" spans="1:1">
      <c r="A50" t="s">
        <v>265</v>
      </c>
    </row>
    <row r="51" spans="1:1">
      <c r="A51" t="s">
        <v>266</v>
      </c>
    </row>
    <row r="52" spans="1:1">
      <c r="A52" t="s">
        <v>267</v>
      </c>
    </row>
    <row r="53" spans="1:1">
      <c r="A53" t="s">
        <v>268</v>
      </c>
    </row>
    <row r="54" spans="1:1">
      <c r="A54" t="s">
        <v>269</v>
      </c>
    </row>
    <row r="55" spans="1:1">
      <c r="A55" t="s">
        <v>270</v>
      </c>
    </row>
    <row r="56" spans="1:1">
      <c r="A56" t="s">
        <v>271</v>
      </c>
    </row>
    <row r="57" spans="1:1">
      <c r="A57" t="s">
        <v>272</v>
      </c>
    </row>
    <row r="58" spans="1:1">
      <c r="A58" t="s">
        <v>273</v>
      </c>
    </row>
    <row r="59" spans="1:1">
      <c r="A59" t="s">
        <v>274</v>
      </c>
    </row>
    <row r="60" spans="1:1">
      <c r="A60" t="s">
        <v>275</v>
      </c>
    </row>
    <row r="61" spans="1:1">
      <c r="A61" t="s">
        <v>276</v>
      </c>
    </row>
    <row r="62" spans="1:1">
      <c r="A62" t="s">
        <v>277</v>
      </c>
    </row>
    <row r="63" spans="1:1">
      <c r="A63" t="s">
        <v>278</v>
      </c>
    </row>
    <row r="64" spans="1:1">
      <c r="A64" t="s">
        <v>279</v>
      </c>
    </row>
    <row r="65" spans="1:1">
      <c r="A65" t="s">
        <v>280</v>
      </c>
    </row>
    <row r="66" spans="1:1">
      <c r="A66" t="s">
        <v>281</v>
      </c>
    </row>
    <row r="67" spans="1:1">
      <c r="A67" t="s">
        <v>282</v>
      </c>
    </row>
    <row r="68" spans="1:1">
      <c r="A68" t="s">
        <v>283</v>
      </c>
    </row>
    <row r="69" spans="1:1">
      <c r="A69" t="s">
        <v>284</v>
      </c>
    </row>
    <row r="70" spans="1:1">
      <c r="A70" t="s">
        <v>285</v>
      </c>
    </row>
    <row r="71" spans="1:1">
      <c r="A71" t="s">
        <v>286</v>
      </c>
    </row>
    <row r="72" spans="1:1">
      <c r="A72" t="s">
        <v>287</v>
      </c>
    </row>
    <row r="73" spans="1:1">
      <c r="A73" t="s">
        <v>288</v>
      </c>
    </row>
    <row r="74" spans="1:1">
      <c r="A74" t="s">
        <v>289</v>
      </c>
    </row>
    <row r="75" spans="1:1">
      <c r="A75" t="s">
        <v>290</v>
      </c>
    </row>
    <row r="76" spans="1:1">
      <c r="A76" t="s">
        <v>291</v>
      </c>
    </row>
    <row r="77" spans="1:1">
      <c r="A77" t="s">
        <v>292</v>
      </c>
    </row>
    <row r="78" spans="1:1">
      <c r="A78" t="s">
        <v>293</v>
      </c>
    </row>
    <row r="79" spans="1:1">
      <c r="A79" t="s">
        <v>294</v>
      </c>
    </row>
    <row r="80" spans="1:1">
      <c r="A80" t="s">
        <v>295</v>
      </c>
    </row>
    <row r="81" spans="1:1">
      <c r="A81" t="s">
        <v>296</v>
      </c>
    </row>
    <row r="82" spans="1:1">
      <c r="A82" t="s">
        <v>297</v>
      </c>
    </row>
    <row r="83" spans="1:1">
      <c r="A83" t="s">
        <v>298</v>
      </c>
    </row>
    <row r="84" spans="1:1">
      <c r="A84" t="s">
        <v>299</v>
      </c>
    </row>
    <row r="85" spans="1:1">
      <c r="A85" t="s">
        <v>300</v>
      </c>
    </row>
    <row r="86" spans="1:1">
      <c r="A86" t="s">
        <v>301</v>
      </c>
    </row>
    <row r="87" spans="1:1">
      <c r="A87" t="s">
        <v>302</v>
      </c>
    </row>
    <row r="88" spans="1:1">
      <c r="A88" t="s">
        <v>303</v>
      </c>
    </row>
    <row r="89" spans="1:1">
      <c r="A89" t="s">
        <v>304</v>
      </c>
    </row>
    <row r="90" spans="1:1">
      <c r="A90" t="s">
        <v>305</v>
      </c>
    </row>
    <row r="91" spans="1:1">
      <c r="A91" t="s">
        <v>306</v>
      </c>
    </row>
    <row r="92" spans="1:1">
      <c r="A92" t="s">
        <v>307</v>
      </c>
    </row>
    <row r="93" spans="1:1">
      <c r="A93" t="s">
        <v>308</v>
      </c>
    </row>
    <row r="94" spans="1:1">
      <c r="A94" t="s">
        <v>309</v>
      </c>
    </row>
    <row r="95" spans="1:1">
      <c r="A95" t="s">
        <v>310</v>
      </c>
    </row>
    <row r="96" spans="1:1">
      <c r="A96" t="s">
        <v>311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1"/>
  <dimension ref="A1:O193"/>
  <sheetViews>
    <sheetView zoomScale="85" zoomScaleNormal="85" workbookViewId="0">
      <selection activeCell="D16" sqref="D16"/>
    </sheetView>
  </sheetViews>
  <sheetFormatPr defaultColWidth="9" defaultRowHeight="14.25"/>
  <cols>
    <col min="1" max="2" width="16.5583333333333" customWidth="1"/>
    <col min="3" max="4" width="20.4416666666667" customWidth="1"/>
    <col min="5" max="5" width="14.775" customWidth="1"/>
    <col min="6" max="15" width="19.3333333333333" customWidth="1"/>
  </cols>
  <sheetData>
    <row r="1" spans="1:15">
      <c r="A1" t="s">
        <v>0</v>
      </c>
      <c r="B1" t="s">
        <v>312</v>
      </c>
      <c r="C1" t="s">
        <v>1</v>
      </c>
      <c r="D1" t="s">
        <v>313</v>
      </c>
      <c r="E1" t="s">
        <v>314</v>
      </c>
      <c r="F1" t="s">
        <v>315</v>
      </c>
      <c r="G1" t="s">
        <v>316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324</v>
      </c>
    </row>
    <row r="2" spans="1:6">
      <c r="A2" t="s">
        <v>15</v>
      </c>
      <c r="B2" t="s">
        <v>325</v>
      </c>
      <c r="C2" t="s">
        <v>16</v>
      </c>
      <c r="D2" t="s">
        <v>326</v>
      </c>
      <c r="E2" s="2">
        <f>COUNTA(F2:O2)</f>
        <v>1</v>
      </c>
      <c r="F2" t="s">
        <v>327</v>
      </c>
    </row>
    <row r="3" hidden="1" spans="1:7">
      <c r="A3" t="s">
        <v>15</v>
      </c>
      <c r="B3" t="s">
        <v>328</v>
      </c>
      <c r="C3" t="s">
        <v>16</v>
      </c>
      <c r="D3" t="s">
        <v>329</v>
      </c>
      <c r="E3" s="2">
        <f t="shared" ref="E3:E66" si="0">COUNTA(F3:O3)</f>
        <v>2</v>
      </c>
      <c r="F3" t="s">
        <v>330</v>
      </c>
      <c r="G3" t="s">
        <v>327</v>
      </c>
    </row>
    <row r="4" spans="1:6">
      <c r="A4" t="s">
        <v>19</v>
      </c>
      <c r="B4" t="s">
        <v>331</v>
      </c>
      <c r="C4" t="s">
        <v>20</v>
      </c>
      <c r="D4" t="s">
        <v>326</v>
      </c>
      <c r="E4" s="2">
        <f t="shared" si="0"/>
        <v>1</v>
      </c>
      <c r="F4" t="s">
        <v>327</v>
      </c>
    </row>
    <row r="5" hidden="1" spans="1:7">
      <c r="A5" t="s">
        <v>19</v>
      </c>
      <c r="B5" t="s">
        <v>332</v>
      </c>
      <c r="C5" t="s">
        <v>20</v>
      </c>
      <c r="D5" t="s">
        <v>329</v>
      </c>
      <c r="E5" s="2">
        <f t="shared" si="0"/>
        <v>2</v>
      </c>
      <c r="F5" t="s">
        <v>330</v>
      </c>
      <c r="G5" t="s">
        <v>327</v>
      </c>
    </row>
    <row r="6" spans="1:6">
      <c r="A6" t="s">
        <v>21</v>
      </c>
      <c r="B6" t="s">
        <v>333</v>
      </c>
      <c r="C6" t="s">
        <v>22</v>
      </c>
      <c r="D6" t="s">
        <v>326</v>
      </c>
      <c r="E6" s="2">
        <f t="shared" si="0"/>
        <v>1</v>
      </c>
      <c r="F6" t="s">
        <v>327</v>
      </c>
    </row>
    <row r="7" hidden="1" spans="1:7">
      <c r="A7" t="s">
        <v>21</v>
      </c>
      <c r="B7" t="s">
        <v>334</v>
      </c>
      <c r="C7" t="s">
        <v>22</v>
      </c>
      <c r="D7" t="s">
        <v>329</v>
      </c>
      <c r="E7" s="2">
        <f t="shared" si="0"/>
        <v>2</v>
      </c>
      <c r="F7" t="s">
        <v>330</v>
      </c>
      <c r="G7" t="s">
        <v>327</v>
      </c>
    </row>
    <row r="8" spans="1:8">
      <c r="A8" t="s">
        <v>23</v>
      </c>
      <c r="B8" t="s">
        <v>335</v>
      </c>
      <c r="C8" t="s">
        <v>24</v>
      </c>
      <c r="D8" t="s">
        <v>326</v>
      </c>
      <c r="E8" s="2">
        <f t="shared" si="0"/>
        <v>3</v>
      </c>
      <c r="F8" t="s">
        <v>336</v>
      </c>
      <c r="G8" t="s">
        <v>337</v>
      </c>
      <c r="H8" t="s">
        <v>338</v>
      </c>
    </row>
    <row r="9" hidden="1" spans="1:9">
      <c r="A9" t="s">
        <v>23</v>
      </c>
      <c r="B9" t="s">
        <v>339</v>
      </c>
      <c r="C9" t="s">
        <v>24</v>
      </c>
      <c r="D9" t="s">
        <v>329</v>
      </c>
      <c r="E9" s="2">
        <f t="shared" si="0"/>
        <v>4</v>
      </c>
      <c r="F9" t="s">
        <v>330</v>
      </c>
      <c r="G9" t="s">
        <v>336</v>
      </c>
      <c r="H9" t="s">
        <v>337</v>
      </c>
      <c r="I9" t="s">
        <v>338</v>
      </c>
    </row>
    <row r="10" spans="1:7">
      <c r="A10" t="s">
        <v>25</v>
      </c>
      <c r="B10" t="s">
        <v>340</v>
      </c>
      <c r="C10" t="s">
        <v>26</v>
      </c>
      <c r="D10" t="s">
        <v>326</v>
      </c>
      <c r="E10" s="2">
        <f t="shared" si="0"/>
        <v>2</v>
      </c>
      <c r="F10" t="s">
        <v>336</v>
      </c>
      <c r="G10" t="s">
        <v>337</v>
      </c>
    </row>
    <row r="11" hidden="1" spans="1:8">
      <c r="A11" t="s">
        <v>25</v>
      </c>
      <c r="B11" t="s">
        <v>341</v>
      </c>
      <c r="C11" t="s">
        <v>26</v>
      </c>
      <c r="D11" t="s">
        <v>329</v>
      </c>
      <c r="E11" s="2">
        <f t="shared" si="0"/>
        <v>3</v>
      </c>
      <c r="F11" t="s">
        <v>330</v>
      </c>
      <c r="G11" t="s">
        <v>336</v>
      </c>
      <c r="H11" t="s">
        <v>337</v>
      </c>
    </row>
    <row r="12" spans="1:6">
      <c r="A12" t="s">
        <v>27</v>
      </c>
      <c r="B12" t="s">
        <v>342</v>
      </c>
      <c r="C12" t="s">
        <v>28</v>
      </c>
      <c r="D12" t="s">
        <v>326</v>
      </c>
      <c r="E12" s="2">
        <f t="shared" si="0"/>
        <v>1</v>
      </c>
      <c r="F12" t="s">
        <v>327</v>
      </c>
    </row>
    <row r="13" hidden="1" spans="1:7">
      <c r="A13" t="s">
        <v>27</v>
      </c>
      <c r="B13" t="s">
        <v>343</v>
      </c>
      <c r="C13" t="s">
        <v>28</v>
      </c>
      <c r="D13" t="s">
        <v>329</v>
      </c>
      <c r="E13" s="2">
        <f t="shared" si="0"/>
        <v>2</v>
      </c>
      <c r="F13" t="s">
        <v>330</v>
      </c>
      <c r="G13" t="s">
        <v>327</v>
      </c>
    </row>
    <row r="14" spans="1:6">
      <c r="A14" t="s">
        <v>29</v>
      </c>
      <c r="B14" t="s">
        <v>344</v>
      </c>
      <c r="C14" t="s">
        <v>30</v>
      </c>
      <c r="D14" t="s">
        <v>326</v>
      </c>
      <c r="E14" s="2">
        <f t="shared" si="0"/>
        <v>1</v>
      </c>
      <c r="F14" t="s">
        <v>327</v>
      </c>
    </row>
    <row r="15" hidden="1" spans="1:7">
      <c r="A15" t="s">
        <v>29</v>
      </c>
      <c r="B15" t="s">
        <v>345</v>
      </c>
      <c r="C15" t="s">
        <v>30</v>
      </c>
      <c r="D15" t="s">
        <v>329</v>
      </c>
      <c r="E15" s="2">
        <f t="shared" si="0"/>
        <v>2</v>
      </c>
      <c r="F15" t="s">
        <v>330</v>
      </c>
      <c r="G15" t="s">
        <v>327</v>
      </c>
    </row>
    <row r="16" spans="1:6">
      <c r="A16" t="s">
        <v>31</v>
      </c>
      <c r="B16" t="s">
        <v>346</v>
      </c>
      <c r="C16" t="s">
        <v>32</v>
      </c>
      <c r="D16" t="s">
        <v>326</v>
      </c>
      <c r="E16" s="2">
        <f t="shared" si="0"/>
        <v>1</v>
      </c>
      <c r="F16" t="s">
        <v>347</v>
      </c>
    </row>
    <row r="17" hidden="1" spans="1:7">
      <c r="A17" t="s">
        <v>31</v>
      </c>
      <c r="B17" t="s">
        <v>348</v>
      </c>
      <c r="C17" t="s">
        <v>32</v>
      </c>
      <c r="D17" t="s">
        <v>329</v>
      </c>
      <c r="E17" s="2">
        <f t="shared" si="0"/>
        <v>2</v>
      </c>
      <c r="F17" t="s">
        <v>330</v>
      </c>
      <c r="G17" t="s">
        <v>347</v>
      </c>
    </row>
    <row r="18" spans="1:8">
      <c r="A18" t="s">
        <v>33</v>
      </c>
      <c r="B18" t="s">
        <v>349</v>
      </c>
      <c r="C18" t="s">
        <v>34</v>
      </c>
      <c r="D18" t="s">
        <v>326</v>
      </c>
      <c r="E18" s="2">
        <f t="shared" si="0"/>
        <v>3</v>
      </c>
      <c r="F18" t="s">
        <v>327</v>
      </c>
      <c r="G18" t="s">
        <v>350</v>
      </c>
      <c r="H18" t="s">
        <v>351</v>
      </c>
    </row>
    <row r="19" hidden="1" spans="1:9">
      <c r="A19" t="s">
        <v>33</v>
      </c>
      <c r="B19" t="s">
        <v>352</v>
      </c>
      <c r="C19" t="s">
        <v>34</v>
      </c>
      <c r="D19" t="s">
        <v>329</v>
      </c>
      <c r="E19" s="2">
        <f t="shared" si="0"/>
        <v>4</v>
      </c>
      <c r="F19" t="s">
        <v>330</v>
      </c>
      <c r="G19" t="s">
        <v>327</v>
      </c>
      <c r="H19" t="s">
        <v>350</v>
      </c>
      <c r="I19" t="s">
        <v>351</v>
      </c>
    </row>
    <row r="20" spans="1:6">
      <c r="A20" t="s">
        <v>36</v>
      </c>
      <c r="B20" t="s">
        <v>353</v>
      </c>
      <c r="C20" t="s">
        <v>37</v>
      </c>
      <c r="D20" t="s">
        <v>326</v>
      </c>
      <c r="E20" s="2">
        <f t="shared" si="0"/>
        <v>1</v>
      </c>
      <c r="F20" t="s">
        <v>327</v>
      </c>
    </row>
    <row r="21" hidden="1" spans="1:7">
      <c r="A21" t="s">
        <v>36</v>
      </c>
      <c r="B21" t="s">
        <v>354</v>
      </c>
      <c r="C21" t="s">
        <v>37</v>
      </c>
      <c r="D21" t="s">
        <v>329</v>
      </c>
      <c r="E21" s="2">
        <f t="shared" si="0"/>
        <v>2</v>
      </c>
      <c r="F21" t="s">
        <v>330</v>
      </c>
      <c r="G21" t="s">
        <v>327</v>
      </c>
    </row>
    <row r="22" spans="1:7">
      <c r="A22" t="s">
        <v>38</v>
      </c>
      <c r="B22" t="s">
        <v>355</v>
      </c>
      <c r="C22" t="s">
        <v>39</v>
      </c>
      <c r="D22" t="s">
        <v>326</v>
      </c>
      <c r="E22" s="2">
        <f t="shared" si="0"/>
        <v>2</v>
      </c>
      <c r="F22" t="s">
        <v>356</v>
      </c>
      <c r="G22" t="s">
        <v>357</v>
      </c>
    </row>
    <row r="23" hidden="1" spans="1:8">
      <c r="A23" t="s">
        <v>38</v>
      </c>
      <c r="B23" t="s">
        <v>358</v>
      </c>
      <c r="C23" t="s">
        <v>39</v>
      </c>
      <c r="D23" t="s">
        <v>329</v>
      </c>
      <c r="E23" s="2">
        <f t="shared" si="0"/>
        <v>3</v>
      </c>
      <c r="F23" t="s">
        <v>330</v>
      </c>
      <c r="G23" t="s">
        <v>356</v>
      </c>
      <c r="H23" t="s">
        <v>357</v>
      </c>
    </row>
    <row r="24" spans="1:6">
      <c r="A24" t="s">
        <v>41</v>
      </c>
      <c r="B24" t="s">
        <v>359</v>
      </c>
      <c r="C24" t="s">
        <v>42</v>
      </c>
      <c r="D24" t="s">
        <v>326</v>
      </c>
      <c r="E24" s="2">
        <f t="shared" si="0"/>
        <v>1</v>
      </c>
      <c r="F24" t="s">
        <v>327</v>
      </c>
    </row>
    <row r="25" hidden="1" spans="1:7">
      <c r="A25" t="s">
        <v>41</v>
      </c>
      <c r="B25" t="s">
        <v>360</v>
      </c>
      <c r="C25" t="s">
        <v>42</v>
      </c>
      <c r="D25" t="s">
        <v>329</v>
      </c>
      <c r="E25" s="2">
        <f t="shared" si="0"/>
        <v>2</v>
      </c>
      <c r="F25" t="s">
        <v>330</v>
      </c>
      <c r="G25" t="s">
        <v>327</v>
      </c>
    </row>
    <row r="26" spans="1:7">
      <c r="A26" t="s">
        <v>43</v>
      </c>
      <c r="B26" t="s">
        <v>361</v>
      </c>
      <c r="C26" t="s">
        <v>44</v>
      </c>
      <c r="D26" t="s">
        <v>326</v>
      </c>
      <c r="E26" s="2">
        <f t="shared" si="0"/>
        <v>2</v>
      </c>
      <c r="F26" t="s">
        <v>327</v>
      </c>
      <c r="G26" t="s">
        <v>362</v>
      </c>
    </row>
    <row r="27" hidden="1" spans="1:8">
      <c r="A27" t="s">
        <v>43</v>
      </c>
      <c r="B27" t="s">
        <v>363</v>
      </c>
      <c r="C27" t="s">
        <v>44</v>
      </c>
      <c r="D27" t="s">
        <v>329</v>
      </c>
      <c r="E27" s="2">
        <f t="shared" si="0"/>
        <v>3</v>
      </c>
      <c r="F27" t="s">
        <v>330</v>
      </c>
      <c r="G27" t="s">
        <v>327</v>
      </c>
      <c r="H27" t="s">
        <v>362</v>
      </c>
    </row>
    <row r="28" spans="1:7">
      <c r="A28" t="s">
        <v>45</v>
      </c>
      <c r="B28" t="s">
        <v>364</v>
      </c>
      <c r="C28" t="s">
        <v>46</v>
      </c>
      <c r="D28" t="s">
        <v>326</v>
      </c>
      <c r="E28" s="2">
        <f t="shared" si="0"/>
        <v>2</v>
      </c>
      <c r="F28" t="s">
        <v>365</v>
      </c>
      <c r="G28" t="s">
        <v>327</v>
      </c>
    </row>
    <row r="29" hidden="1" spans="1:8">
      <c r="A29" t="s">
        <v>45</v>
      </c>
      <c r="B29" t="s">
        <v>366</v>
      </c>
      <c r="C29" t="s">
        <v>46</v>
      </c>
      <c r="D29" t="s">
        <v>329</v>
      </c>
      <c r="E29" s="2">
        <f t="shared" si="0"/>
        <v>3</v>
      </c>
      <c r="F29" t="s">
        <v>330</v>
      </c>
      <c r="G29" t="s">
        <v>365</v>
      </c>
      <c r="H29" t="s">
        <v>327</v>
      </c>
    </row>
    <row r="30" spans="1:7">
      <c r="A30" t="s">
        <v>47</v>
      </c>
      <c r="B30" t="s">
        <v>367</v>
      </c>
      <c r="C30" t="s">
        <v>48</v>
      </c>
      <c r="D30" t="s">
        <v>326</v>
      </c>
      <c r="E30" s="2">
        <f t="shared" si="0"/>
        <v>2</v>
      </c>
      <c r="F30" t="s">
        <v>368</v>
      </c>
      <c r="G30" t="s">
        <v>369</v>
      </c>
    </row>
    <row r="31" hidden="1" spans="1:8">
      <c r="A31" t="s">
        <v>47</v>
      </c>
      <c r="B31" t="s">
        <v>370</v>
      </c>
      <c r="C31" t="s">
        <v>48</v>
      </c>
      <c r="D31" t="s">
        <v>329</v>
      </c>
      <c r="E31" s="2">
        <f t="shared" si="0"/>
        <v>3</v>
      </c>
      <c r="F31" t="s">
        <v>330</v>
      </c>
      <c r="G31" t="s">
        <v>368</v>
      </c>
      <c r="H31" t="s">
        <v>369</v>
      </c>
    </row>
    <row r="32" spans="1:8">
      <c r="A32" t="s">
        <v>49</v>
      </c>
      <c r="B32" t="s">
        <v>371</v>
      </c>
      <c r="C32" t="s">
        <v>50</v>
      </c>
      <c r="D32" t="s">
        <v>326</v>
      </c>
      <c r="E32" s="2">
        <f t="shared" si="0"/>
        <v>3</v>
      </c>
      <c r="F32" t="s">
        <v>368</v>
      </c>
      <c r="G32" t="s">
        <v>372</v>
      </c>
      <c r="H32" t="s">
        <v>369</v>
      </c>
    </row>
    <row r="33" hidden="1" spans="1:9">
      <c r="A33" t="s">
        <v>49</v>
      </c>
      <c r="B33" t="s">
        <v>373</v>
      </c>
      <c r="C33" t="s">
        <v>50</v>
      </c>
      <c r="D33" t="s">
        <v>329</v>
      </c>
      <c r="E33" s="2">
        <f t="shared" si="0"/>
        <v>4</v>
      </c>
      <c r="F33" t="s">
        <v>330</v>
      </c>
      <c r="G33" t="s">
        <v>368</v>
      </c>
      <c r="H33" t="s">
        <v>372</v>
      </c>
      <c r="I33" t="s">
        <v>369</v>
      </c>
    </row>
    <row r="34" spans="1:7">
      <c r="A34" t="s">
        <v>51</v>
      </c>
      <c r="B34" t="s">
        <v>374</v>
      </c>
      <c r="C34" t="s">
        <v>52</v>
      </c>
      <c r="D34" t="s">
        <v>326</v>
      </c>
      <c r="E34" s="2">
        <f t="shared" si="0"/>
        <v>2</v>
      </c>
      <c r="F34" t="s">
        <v>327</v>
      </c>
      <c r="G34" t="s">
        <v>375</v>
      </c>
    </row>
    <row r="35" hidden="1" spans="1:8">
      <c r="A35" t="s">
        <v>51</v>
      </c>
      <c r="B35" t="s">
        <v>376</v>
      </c>
      <c r="C35" t="s">
        <v>52</v>
      </c>
      <c r="D35" t="s">
        <v>329</v>
      </c>
      <c r="E35" s="2">
        <f t="shared" si="0"/>
        <v>3</v>
      </c>
      <c r="F35" t="s">
        <v>330</v>
      </c>
      <c r="G35" t="s">
        <v>327</v>
      </c>
      <c r="H35" t="s">
        <v>375</v>
      </c>
    </row>
    <row r="36" spans="1:6">
      <c r="A36" t="s">
        <v>53</v>
      </c>
      <c r="B36" t="s">
        <v>377</v>
      </c>
      <c r="C36" t="s">
        <v>54</v>
      </c>
      <c r="D36" t="s">
        <v>326</v>
      </c>
      <c r="E36" s="2">
        <f t="shared" si="0"/>
        <v>1</v>
      </c>
      <c r="F36" t="s">
        <v>378</v>
      </c>
    </row>
    <row r="37" hidden="1" spans="1:6">
      <c r="A37" t="s">
        <v>53</v>
      </c>
      <c r="B37" t="s">
        <v>379</v>
      </c>
      <c r="C37" t="s">
        <v>54</v>
      </c>
      <c r="D37" t="s">
        <v>329</v>
      </c>
      <c r="E37" s="2">
        <f t="shared" si="0"/>
        <v>1</v>
      </c>
      <c r="F37" t="s">
        <v>330</v>
      </c>
    </row>
    <row r="38" spans="1:6">
      <c r="A38" t="s">
        <v>55</v>
      </c>
      <c r="B38" t="s">
        <v>380</v>
      </c>
      <c r="C38" t="s">
        <v>56</v>
      </c>
      <c r="D38" t="s">
        <v>326</v>
      </c>
      <c r="E38" s="2">
        <f t="shared" si="0"/>
        <v>1</v>
      </c>
      <c r="F38" t="s">
        <v>327</v>
      </c>
    </row>
    <row r="39" hidden="1" spans="1:7">
      <c r="A39" t="s">
        <v>55</v>
      </c>
      <c r="B39" t="s">
        <v>381</v>
      </c>
      <c r="C39" t="s">
        <v>56</v>
      </c>
      <c r="D39" t="s">
        <v>329</v>
      </c>
      <c r="E39" s="2">
        <f t="shared" si="0"/>
        <v>2</v>
      </c>
      <c r="F39" t="s">
        <v>330</v>
      </c>
      <c r="G39" t="s">
        <v>327</v>
      </c>
    </row>
    <row r="40" spans="1:7">
      <c r="A40" t="s">
        <v>57</v>
      </c>
      <c r="B40" t="s">
        <v>382</v>
      </c>
      <c r="C40" t="s">
        <v>58</v>
      </c>
      <c r="D40" t="s">
        <v>326</v>
      </c>
      <c r="E40" s="2">
        <f t="shared" si="0"/>
        <v>2</v>
      </c>
      <c r="F40" t="s">
        <v>356</v>
      </c>
      <c r="G40" t="s">
        <v>357</v>
      </c>
    </row>
    <row r="41" hidden="1" spans="1:8">
      <c r="A41" t="s">
        <v>57</v>
      </c>
      <c r="B41" t="s">
        <v>383</v>
      </c>
      <c r="C41" t="s">
        <v>58</v>
      </c>
      <c r="D41" t="s">
        <v>329</v>
      </c>
      <c r="E41" s="2">
        <f t="shared" si="0"/>
        <v>3</v>
      </c>
      <c r="F41" t="s">
        <v>330</v>
      </c>
      <c r="G41" t="s">
        <v>356</v>
      </c>
      <c r="H41" t="s">
        <v>357</v>
      </c>
    </row>
    <row r="42" spans="1:7">
      <c r="A42" t="s">
        <v>59</v>
      </c>
      <c r="B42" t="s">
        <v>384</v>
      </c>
      <c r="C42" t="s">
        <v>60</v>
      </c>
      <c r="D42" t="s">
        <v>326</v>
      </c>
      <c r="E42" s="2">
        <f t="shared" si="0"/>
        <v>2</v>
      </c>
      <c r="F42" t="s">
        <v>368</v>
      </c>
      <c r="G42" t="s">
        <v>369</v>
      </c>
    </row>
    <row r="43" hidden="1" spans="1:8">
      <c r="A43" t="s">
        <v>59</v>
      </c>
      <c r="B43" t="s">
        <v>385</v>
      </c>
      <c r="C43" t="s">
        <v>60</v>
      </c>
      <c r="D43" t="s">
        <v>329</v>
      </c>
      <c r="E43" s="2">
        <f t="shared" si="0"/>
        <v>3</v>
      </c>
      <c r="F43" t="s">
        <v>330</v>
      </c>
      <c r="G43" t="s">
        <v>368</v>
      </c>
      <c r="H43" t="s">
        <v>369</v>
      </c>
    </row>
    <row r="44" spans="1:6">
      <c r="A44" t="s">
        <v>61</v>
      </c>
      <c r="B44" t="s">
        <v>386</v>
      </c>
      <c r="C44" t="s">
        <v>62</v>
      </c>
      <c r="D44" t="s">
        <v>326</v>
      </c>
      <c r="E44" s="2">
        <f t="shared" si="0"/>
        <v>1</v>
      </c>
      <c r="F44" t="s">
        <v>378</v>
      </c>
    </row>
    <row r="45" hidden="1" spans="1:6">
      <c r="A45" t="s">
        <v>61</v>
      </c>
      <c r="B45" t="s">
        <v>387</v>
      </c>
      <c r="C45" t="s">
        <v>62</v>
      </c>
      <c r="D45" t="s">
        <v>329</v>
      </c>
      <c r="E45" s="2">
        <f t="shared" si="0"/>
        <v>1</v>
      </c>
      <c r="F45" t="s">
        <v>330</v>
      </c>
    </row>
    <row r="46" spans="1:6">
      <c r="A46" t="s">
        <v>63</v>
      </c>
      <c r="B46" t="s">
        <v>388</v>
      </c>
      <c r="C46" t="s">
        <v>64</v>
      </c>
      <c r="D46" t="s">
        <v>326</v>
      </c>
      <c r="E46" s="2">
        <f t="shared" si="0"/>
        <v>1</v>
      </c>
      <c r="F46" t="s">
        <v>378</v>
      </c>
    </row>
    <row r="47" hidden="1" spans="1:6">
      <c r="A47" t="s">
        <v>63</v>
      </c>
      <c r="B47" t="s">
        <v>389</v>
      </c>
      <c r="C47" t="s">
        <v>64</v>
      </c>
      <c r="D47" t="s">
        <v>329</v>
      </c>
      <c r="E47" s="2">
        <f t="shared" si="0"/>
        <v>1</v>
      </c>
      <c r="F47" t="s">
        <v>330</v>
      </c>
    </row>
    <row r="48" spans="1:6">
      <c r="A48" t="s">
        <v>65</v>
      </c>
      <c r="B48" t="s">
        <v>390</v>
      </c>
      <c r="C48" t="s">
        <v>66</v>
      </c>
      <c r="D48" t="s">
        <v>326</v>
      </c>
      <c r="E48" s="2">
        <f t="shared" si="0"/>
        <v>1</v>
      </c>
      <c r="F48" t="s">
        <v>378</v>
      </c>
    </row>
    <row r="49" hidden="1" spans="1:6">
      <c r="A49" t="s">
        <v>65</v>
      </c>
      <c r="B49" t="s">
        <v>391</v>
      </c>
      <c r="C49" t="s">
        <v>66</v>
      </c>
      <c r="D49" t="s">
        <v>329</v>
      </c>
      <c r="E49" s="2">
        <f t="shared" si="0"/>
        <v>1</v>
      </c>
      <c r="F49" t="s">
        <v>330</v>
      </c>
    </row>
    <row r="50" spans="1:7">
      <c r="A50" t="s">
        <v>67</v>
      </c>
      <c r="B50" t="s">
        <v>392</v>
      </c>
      <c r="C50" t="s">
        <v>68</v>
      </c>
      <c r="D50" t="s">
        <v>326</v>
      </c>
      <c r="E50" s="2">
        <f t="shared" si="0"/>
        <v>2</v>
      </c>
      <c r="F50" t="s">
        <v>327</v>
      </c>
      <c r="G50" t="s">
        <v>338</v>
      </c>
    </row>
    <row r="51" hidden="1" spans="1:8">
      <c r="A51" t="s">
        <v>67</v>
      </c>
      <c r="B51" t="s">
        <v>393</v>
      </c>
      <c r="C51" t="s">
        <v>68</v>
      </c>
      <c r="D51" t="s">
        <v>329</v>
      </c>
      <c r="E51" s="2">
        <f t="shared" si="0"/>
        <v>3</v>
      </c>
      <c r="F51" t="s">
        <v>330</v>
      </c>
      <c r="G51" t="s">
        <v>327</v>
      </c>
      <c r="H51" t="s">
        <v>338</v>
      </c>
    </row>
    <row r="52" spans="1:6">
      <c r="A52" t="s">
        <v>69</v>
      </c>
      <c r="B52" t="s">
        <v>394</v>
      </c>
      <c r="C52" t="s">
        <v>70</v>
      </c>
      <c r="D52" t="s">
        <v>326</v>
      </c>
      <c r="E52" s="2">
        <f t="shared" si="0"/>
        <v>1</v>
      </c>
      <c r="F52" t="s">
        <v>327</v>
      </c>
    </row>
    <row r="53" hidden="1" spans="1:7">
      <c r="A53" t="s">
        <v>69</v>
      </c>
      <c r="B53" t="s">
        <v>395</v>
      </c>
      <c r="C53" t="s">
        <v>70</v>
      </c>
      <c r="D53" t="s">
        <v>329</v>
      </c>
      <c r="E53" s="2">
        <f t="shared" si="0"/>
        <v>2</v>
      </c>
      <c r="F53" t="s">
        <v>330</v>
      </c>
      <c r="G53" t="s">
        <v>327</v>
      </c>
    </row>
    <row r="54" spans="1:6">
      <c r="A54" t="s">
        <v>71</v>
      </c>
      <c r="B54" t="s">
        <v>396</v>
      </c>
      <c r="C54" t="s">
        <v>72</v>
      </c>
      <c r="D54" t="s">
        <v>326</v>
      </c>
      <c r="E54" s="2">
        <f t="shared" si="0"/>
        <v>1</v>
      </c>
      <c r="F54" t="s">
        <v>327</v>
      </c>
    </row>
    <row r="55" hidden="1" spans="1:7">
      <c r="A55" t="s">
        <v>71</v>
      </c>
      <c r="B55" t="s">
        <v>397</v>
      </c>
      <c r="C55" t="s">
        <v>72</v>
      </c>
      <c r="D55" t="s">
        <v>329</v>
      </c>
      <c r="E55" s="2">
        <f t="shared" si="0"/>
        <v>2</v>
      </c>
      <c r="F55" t="s">
        <v>330</v>
      </c>
      <c r="G55" t="s">
        <v>327</v>
      </c>
    </row>
    <row r="56" spans="1:6">
      <c r="A56" t="s">
        <v>73</v>
      </c>
      <c r="B56" t="s">
        <v>398</v>
      </c>
      <c r="C56" t="s">
        <v>74</v>
      </c>
      <c r="D56" t="s">
        <v>326</v>
      </c>
      <c r="E56" s="2">
        <f t="shared" si="0"/>
        <v>1</v>
      </c>
      <c r="F56" t="s">
        <v>327</v>
      </c>
    </row>
    <row r="57" hidden="1" spans="1:7">
      <c r="A57" t="s">
        <v>73</v>
      </c>
      <c r="B57" t="s">
        <v>399</v>
      </c>
      <c r="C57" t="s">
        <v>74</v>
      </c>
      <c r="D57" t="s">
        <v>329</v>
      </c>
      <c r="E57" s="2">
        <f t="shared" si="0"/>
        <v>2</v>
      </c>
      <c r="F57" t="s">
        <v>330</v>
      </c>
      <c r="G57" t="s">
        <v>327</v>
      </c>
    </row>
    <row r="58" spans="1:8">
      <c r="A58" t="s">
        <v>75</v>
      </c>
      <c r="B58" t="s">
        <v>400</v>
      </c>
      <c r="C58" t="s">
        <v>76</v>
      </c>
      <c r="D58" t="s">
        <v>326</v>
      </c>
      <c r="E58" s="2">
        <f t="shared" si="0"/>
        <v>3</v>
      </c>
      <c r="F58" t="s">
        <v>401</v>
      </c>
      <c r="G58" t="s">
        <v>402</v>
      </c>
      <c r="H58" t="s">
        <v>403</v>
      </c>
    </row>
    <row r="59" hidden="1" spans="1:9">
      <c r="A59" t="s">
        <v>75</v>
      </c>
      <c r="B59" t="s">
        <v>404</v>
      </c>
      <c r="C59" t="s">
        <v>76</v>
      </c>
      <c r="D59" t="s">
        <v>329</v>
      </c>
      <c r="E59" s="2">
        <f t="shared" si="0"/>
        <v>4</v>
      </c>
      <c r="F59" t="s">
        <v>330</v>
      </c>
      <c r="G59" t="s">
        <v>401</v>
      </c>
      <c r="H59" t="s">
        <v>402</v>
      </c>
      <c r="I59" t="s">
        <v>403</v>
      </c>
    </row>
    <row r="60" spans="1:6">
      <c r="A60" t="s">
        <v>78</v>
      </c>
      <c r="B60" t="s">
        <v>405</v>
      </c>
      <c r="C60" t="s">
        <v>79</v>
      </c>
      <c r="D60" t="s">
        <v>326</v>
      </c>
      <c r="E60" s="2">
        <f t="shared" si="0"/>
        <v>1</v>
      </c>
      <c r="F60" t="s">
        <v>327</v>
      </c>
    </row>
    <row r="61" hidden="1" spans="1:7">
      <c r="A61" t="s">
        <v>78</v>
      </c>
      <c r="B61" t="s">
        <v>406</v>
      </c>
      <c r="C61" t="s">
        <v>79</v>
      </c>
      <c r="D61" t="s">
        <v>329</v>
      </c>
      <c r="E61" s="2">
        <f t="shared" si="0"/>
        <v>2</v>
      </c>
      <c r="F61" t="s">
        <v>330</v>
      </c>
      <c r="G61" t="s">
        <v>327</v>
      </c>
    </row>
    <row r="62" spans="1:14">
      <c r="A62" t="s">
        <v>80</v>
      </c>
      <c r="B62" t="s">
        <v>407</v>
      </c>
      <c r="C62" t="s">
        <v>81</v>
      </c>
      <c r="D62" t="s">
        <v>326</v>
      </c>
      <c r="E62" s="2">
        <f t="shared" si="0"/>
        <v>9</v>
      </c>
      <c r="F62" t="s">
        <v>408</v>
      </c>
      <c r="G62" t="s">
        <v>409</v>
      </c>
      <c r="H62" t="s">
        <v>327</v>
      </c>
      <c r="I62" t="s">
        <v>410</v>
      </c>
      <c r="J62" t="s">
        <v>411</v>
      </c>
      <c r="K62" t="s">
        <v>412</v>
      </c>
      <c r="L62" t="s">
        <v>413</v>
      </c>
      <c r="M62" t="s">
        <v>414</v>
      </c>
      <c r="N62" t="s">
        <v>415</v>
      </c>
    </row>
    <row r="63" hidden="1" spans="1:15">
      <c r="A63" t="s">
        <v>80</v>
      </c>
      <c r="B63" t="s">
        <v>416</v>
      </c>
      <c r="C63" t="s">
        <v>81</v>
      </c>
      <c r="D63" t="s">
        <v>329</v>
      </c>
      <c r="E63" s="2">
        <f t="shared" si="0"/>
        <v>10</v>
      </c>
      <c r="F63" t="s">
        <v>330</v>
      </c>
      <c r="G63" t="s">
        <v>408</v>
      </c>
      <c r="H63" t="s">
        <v>409</v>
      </c>
      <c r="I63" t="s">
        <v>327</v>
      </c>
      <c r="J63" t="s">
        <v>410</v>
      </c>
      <c r="K63" t="s">
        <v>411</v>
      </c>
      <c r="L63" t="s">
        <v>412</v>
      </c>
      <c r="M63" t="s">
        <v>413</v>
      </c>
      <c r="N63" t="s">
        <v>414</v>
      </c>
      <c r="O63" t="s">
        <v>415</v>
      </c>
    </row>
    <row r="64" spans="1:7">
      <c r="A64" t="s">
        <v>82</v>
      </c>
      <c r="B64" t="s">
        <v>417</v>
      </c>
      <c r="C64" t="s">
        <v>83</v>
      </c>
      <c r="D64" t="s">
        <v>326</v>
      </c>
      <c r="E64" s="2">
        <f t="shared" si="0"/>
        <v>2</v>
      </c>
      <c r="F64" t="s">
        <v>418</v>
      </c>
      <c r="G64" t="s">
        <v>419</v>
      </c>
    </row>
    <row r="65" hidden="1" spans="1:8">
      <c r="A65" t="s">
        <v>82</v>
      </c>
      <c r="B65" t="s">
        <v>420</v>
      </c>
      <c r="C65" t="s">
        <v>83</v>
      </c>
      <c r="D65" t="s">
        <v>329</v>
      </c>
      <c r="E65" s="2">
        <f t="shared" si="0"/>
        <v>3</v>
      </c>
      <c r="F65" t="s">
        <v>330</v>
      </c>
      <c r="G65" t="s">
        <v>418</v>
      </c>
      <c r="H65" t="s">
        <v>419</v>
      </c>
    </row>
    <row r="66" spans="1:6">
      <c r="A66" t="s">
        <v>85</v>
      </c>
      <c r="B66" t="s">
        <v>421</v>
      </c>
      <c r="C66" t="s">
        <v>86</v>
      </c>
      <c r="D66" t="s">
        <v>326</v>
      </c>
      <c r="E66" s="2">
        <f t="shared" si="0"/>
        <v>1</v>
      </c>
      <c r="F66" t="s">
        <v>378</v>
      </c>
    </row>
    <row r="67" hidden="1" spans="1:6">
      <c r="A67" t="s">
        <v>85</v>
      </c>
      <c r="B67" t="s">
        <v>422</v>
      </c>
      <c r="C67" t="s">
        <v>86</v>
      </c>
      <c r="D67" t="s">
        <v>329</v>
      </c>
      <c r="E67" s="2">
        <f t="shared" ref="E67:E130" si="1">COUNTA(F67:O67)</f>
        <v>1</v>
      </c>
      <c r="F67" t="s">
        <v>330</v>
      </c>
    </row>
    <row r="68" spans="1:6">
      <c r="A68" t="s">
        <v>87</v>
      </c>
      <c r="B68" t="s">
        <v>423</v>
      </c>
      <c r="C68" t="s">
        <v>88</v>
      </c>
      <c r="D68" t="s">
        <v>326</v>
      </c>
      <c r="E68" s="2">
        <f t="shared" si="1"/>
        <v>1</v>
      </c>
      <c r="F68" t="s">
        <v>327</v>
      </c>
    </row>
    <row r="69" hidden="1" spans="1:7">
      <c r="A69" t="s">
        <v>87</v>
      </c>
      <c r="B69" t="s">
        <v>424</v>
      </c>
      <c r="C69" t="s">
        <v>88</v>
      </c>
      <c r="D69" t="s">
        <v>329</v>
      </c>
      <c r="E69" s="2">
        <f t="shared" si="1"/>
        <v>2</v>
      </c>
      <c r="F69" t="s">
        <v>330</v>
      </c>
      <c r="G69" t="s">
        <v>327</v>
      </c>
    </row>
    <row r="70" spans="1:7">
      <c r="A70" t="s">
        <v>89</v>
      </c>
      <c r="B70" t="s">
        <v>425</v>
      </c>
      <c r="C70" t="s">
        <v>90</v>
      </c>
      <c r="D70" t="s">
        <v>326</v>
      </c>
      <c r="E70" s="2">
        <f t="shared" si="1"/>
        <v>2</v>
      </c>
      <c r="F70" t="s">
        <v>426</v>
      </c>
      <c r="G70" t="s">
        <v>327</v>
      </c>
    </row>
    <row r="71" hidden="1" spans="1:8">
      <c r="A71" t="s">
        <v>89</v>
      </c>
      <c r="B71" t="s">
        <v>427</v>
      </c>
      <c r="C71" t="s">
        <v>90</v>
      </c>
      <c r="D71" t="s">
        <v>329</v>
      </c>
      <c r="E71" s="2">
        <f t="shared" si="1"/>
        <v>3</v>
      </c>
      <c r="F71" t="s">
        <v>330</v>
      </c>
      <c r="G71" t="s">
        <v>426</v>
      </c>
      <c r="H71" t="s">
        <v>327</v>
      </c>
    </row>
    <row r="72" spans="1:7">
      <c r="A72" t="s">
        <v>91</v>
      </c>
      <c r="B72" t="s">
        <v>428</v>
      </c>
      <c r="C72" t="s">
        <v>92</v>
      </c>
      <c r="D72" t="s">
        <v>326</v>
      </c>
      <c r="E72" s="2">
        <f t="shared" si="1"/>
        <v>2</v>
      </c>
      <c r="F72" t="s">
        <v>429</v>
      </c>
      <c r="G72" t="s">
        <v>327</v>
      </c>
    </row>
    <row r="73" hidden="1" spans="1:8">
      <c r="A73" t="s">
        <v>91</v>
      </c>
      <c r="B73" t="s">
        <v>430</v>
      </c>
      <c r="C73" t="s">
        <v>92</v>
      </c>
      <c r="D73" t="s">
        <v>329</v>
      </c>
      <c r="E73" s="2">
        <f t="shared" si="1"/>
        <v>3</v>
      </c>
      <c r="F73" t="s">
        <v>330</v>
      </c>
      <c r="G73" t="s">
        <v>429</v>
      </c>
      <c r="H73" t="s">
        <v>327</v>
      </c>
    </row>
    <row r="74" spans="1:6">
      <c r="A74" t="s">
        <v>93</v>
      </c>
      <c r="B74" t="s">
        <v>431</v>
      </c>
      <c r="C74" t="s">
        <v>94</v>
      </c>
      <c r="D74" t="s">
        <v>326</v>
      </c>
      <c r="E74" s="2">
        <f t="shared" si="1"/>
        <v>1</v>
      </c>
      <c r="F74" t="s">
        <v>327</v>
      </c>
    </row>
    <row r="75" hidden="1" spans="1:7">
      <c r="A75" t="s">
        <v>93</v>
      </c>
      <c r="B75" t="s">
        <v>432</v>
      </c>
      <c r="C75" t="s">
        <v>94</v>
      </c>
      <c r="D75" t="s">
        <v>329</v>
      </c>
      <c r="E75" s="2">
        <f t="shared" si="1"/>
        <v>2</v>
      </c>
      <c r="F75" t="s">
        <v>330</v>
      </c>
      <c r="G75" t="s">
        <v>327</v>
      </c>
    </row>
    <row r="76" spans="1:6">
      <c r="A76" t="s">
        <v>95</v>
      </c>
      <c r="B76" t="s">
        <v>433</v>
      </c>
      <c r="C76" t="s">
        <v>96</v>
      </c>
      <c r="D76" t="s">
        <v>326</v>
      </c>
      <c r="E76" s="2">
        <f t="shared" si="1"/>
        <v>1</v>
      </c>
      <c r="F76" t="s">
        <v>327</v>
      </c>
    </row>
    <row r="77" hidden="1" spans="1:7">
      <c r="A77" t="s">
        <v>95</v>
      </c>
      <c r="B77" t="s">
        <v>434</v>
      </c>
      <c r="C77" t="s">
        <v>96</v>
      </c>
      <c r="D77" t="s">
        <v>329</v>
      </c>
      <c r="E77" s="2">
        <f t="shared" si="1"/>
        <v>2</v>
      </c>
      <c r="F77" t="s">
        <v>330</v>
      </c>
      <c r="G77" t="s">
        <v>327</v>
      </c>
    </row>
    <row r="78" spans="1:6">
      <c r="A78" t="s">
        <v>97</v>
      </c>
      <c r="B78" t="s">
        <v>435</v>
      </c>
      <c r="C78" t="s">
        <v>98</v>
      </c>
      <c r="D78" t="s">
        <v>326</v>
      </c>
      <c r="E78" s="2">
        <f t="shared" si="1"/>
        <v>1</v>
      </c>
      <c r="F78" t="s">
        <v>327</v>
      </c>
    </row>
    <row r="79" hidden="1" spans="1:7">
      <c r="A79" t="s">
        <v>97</v>
      </c>
      <c r="B79" t="s">
        <v>436</v>
      </c>
      <c r="C79" t="s">
        <v>98</v>
      </c>
      <c r="D79" t="s">
        <v>329</v>
      </c>
      <c r="E79" s="2">
        <f t="shared" si="1"/>
        <v>2</v>
      </c>
      <c r="F79" t="s">
        <v>330</v>
      </c>
      <c r="G79" t="s">
        <v>327</v>
      </c>
    </row>
    <row r="80" spans="1:6">
      <c r="A80" t="s">
        <v>99</v>
      </c>
      <c r="B80" t="s">
        <v>437</v>
      </c>
      <c r="C80" t="s">
        <v>100</v>
      </c>
      <c r="D80" t="s">
        <v>326</v>
      </c>
      <c r="E80" s="2">
        <f t="shared" si="1"/>
        <v>1</v>
      </c>
      <c r="F80" t="s">
        <v>378</v>
      </c>
    </row>
    <row r="81" hidden="1" spans="1:6">
      <c r="A81" t="s">
        <v>99</v>
      </c>
      <c r="B81" t="s">
        <v>438</v>
      </c>
      <c r="C81" t="s">
        <v>100</v>
      </c>
      <c r="D81" t="s">
        <v>329</v>
      </c>
      <c r="E81" s="2">
        <f t="shared" si="1"/>
        <v>1</v>
      </c>
      <c r="F81" t="s">
        <v>330</v>
      </c>
    </row>
    <row r="82" spans="1:7">
      <c r="A82" t="s">
        <v>101</v>
      </c>
      <c r="B82" t="s">
        <v>439</v>
      </c>
      <c r="C82" t="s">
        <v>102</v>
      </c>
      <c r="D82" t="s">
        <v>326</v>
      </c>
      <c r="E82" s="2">
        <f t="shared" si="1"/>
        <v>2</v>
      </c>
      <c r="F82" t="s">
        <v>440</v>
      </c>
      <c r="G82" t="s">
        <v>327</v>
      </c>
    </row>
    <row r="83" hidden="1" spans="1:8">
      <c r="A83" t="s">
        <v>101</v>
      </c>
      <c r="B83" t="s">
        <v>441</v>
      </c>
      <c r="C83" t="s">
        <v>102</v>
      </c>
      <c r="D83" t="s">
        <v>329</v>
      </c>
      <c r="E83" s="2">
        <f t="shared" si="1"/>
        <v>3</v>
      </c>
      <c r="F83" t="s">
        <v>330</v>
      </c>
      <c r="G83" t="s">
        <v>440</v>
      </c>
      <c r="H83" t="s">
        <v>327</v>
      </c>
    </row>
    <row r="84" spans="1:6">
      <c r="A84" t="s">
        <v>103</v>
      </c>
      <c r="B84" t="s">
        <v>442</v>
      </c>
      <c r="C84" t="s">
        <v>104</v>
      </c>
      <c r="D84" t="s">
        <v>326</v>
      </c>
      <c r="E84" s="2">
        <f t="shared" si="1"/>
        <v>1</v>
      </c>
      <c r="F84" t="s">
        <v>338</v>
      </c>
    </row>
    <row r="85" hidden="1" spans="1:7">
      <c r="A85" t="s">
        <v>103</v>
      </c>
      <c r="B85" t="s">
        <v>443</v>
      </c>
      <c r="C85" t="s">
        <v>104</v>
      </c>
      <c r="D85" t="s">
        <v>329</v>
      </c>
      <c r="E85" s="2">
        <f t="shared" si="1"/>
        <v>2</v>
      </c>
      <c r="F85" t="s">
        <v>330</v>
      </c>
      <c r="G85" t="s">
        <v>338</v>
      </c>
    </row>
    <row r="86" spans="1:6">
      <c r="A86" t="s">
        <v>105</v>
      </c>
      <c r="B86" t="s">
        <v>444</v>
      </c>
      <c r="C86" t="s">
        <v>106</v>
      </c>
      <c r="D86" t="s">
        <v>326</v>
      </c>
      <c r="E86" s="2">
        <f t="shared" si="1"/>
        <v>1</v>
      </c>
      <c r="F86" t="s">
        <v>378</v>
      </c>
    </row>
    <row r="87" hidden="1" spans="1:6">
      <c r="A87" t="s">
        <v>105</v>
      </c>
      <c r="B87" t="s">
        <v>445</v>
      </c>
      <c r="C87" t="s">
        <v>106</v>
      </c>
      <c r="D87" t="s">
        <v>329</v>
      </c>
      <c r="E87" s="2">
        <f t="shared" si="1"/>
        <v>1</v>
      </c>
      <c r="F87" t="s">
        <v>330</v>
      </c>
    </row>
    <row r="88" spans="1:6">
      <c r="A88" t="s">
        <v>107</v>
      </c>
      <c r="B88" t="s">
        <v>446</v>
      </c>
      <c r="C88" t="s">
        <v>108</v>
      </c>
      <c r="D88" t="s">
        <v>326</v>
      </c>
      <c r="E88" s="2">
        <f t="shared" si="1"/>
        <v>1</v>
      </c>
      <c r="F88" t="s">
        <v>378</v>
      </c>
    </row>
    <row r="89" hidden="1" spans="1:6">
      <c r="A89" t="s">
        <v>107</v>
      </c>
      <c r="B89" t="s">
        <v>447</v>
      </c>
      <c r="C89" t="s">
        <v>108</v>
      </c>
      <c r="D89" t="s">
        <v>329</v>
      </c>
      <c r="E89" s="2">
        <f t="shared" si="1"/>
        <v>1</v>
      </c>
      <c r="F89" t="s">
        <v>330</v>
      </c>
    </row>
    <row r="90" spans="1:7">
      <c r="A90" t="s">
        <v>109</v>
      </c>
      <c r="B90" t="s">
        <v>448</v>
      </c>
      <c r="C90" t="s">
        <v>110</v>
      </c>
      <c r="D90" t="s">
        <v>326</v>
      </c>
      <c r="E90" s="2">
        <f t="shared" si="1"/>
        <v>2</v>
      </c>
      <c r="F90" t="s">
        <v>449</v>
      </c>
      <c r="G90" t="s">
        <v>450</v>
      </c>
    </row>
    <row r="91" hidden="1" spans="1:8">
      <c r="A91" t="s">
        <v>109</v>
      </c>
      <c r="B91" t="s">
        <v>451</v>
      </c>
      <c r="C91" t="s">
        <v>110</v>
      </c>
      <c r="D91" t="s">
        <v>329</v>
      </c>
      <c r="E91" s="2">
        <f t="shared" si="1"/>
        <v>3</v>
      </c>
      <c r="F91" t="s">
        <v>330</v>
      </c>
      <c r="G91" t="s">
        <v>449</v>
      </c>
      <c r="H91" t="s">
        <v>450</v>
      </c>
    </row>
    <row r="92" spans="1:6">
      <c r="A92" t="s">
        <v>112</v>
      </c>
      <c r="B92" t="s">
        <v>452</v>
      </c>
      <c r="C92" t="s">
        <v>113</v>
      </c>
      <c r="D92" t="s">
        <v>326</v>
      </c>
      <c r="E92" s="2">
        <f t="shared" si="1"/>
        <v>1</v>
      </c>
      <c r="F92" t="s">
        <v>327</v>
      </c>
    </row>
    <row r="93" hidden="1" spans="1:7">
      <c r="A93" t="s">
        <v>112</v>
      </c>
      <c r="B93" t="s">
        <v>453</v>
      </c>
      <c r="C93" t="s">
        <v>113</v>
      </c>
      <c r="D93" t="s">
        <v>329</v>
      </c>
      <c r="E93" s="2">
        <f t="shared" si="1"/>
        <v>2</v>
      </c>
      <c r="F93" t="s">
        <v>330</v>
      </c>
      <c r="G93" t="s">
        <v>327</v>
      </c>
    </row>
    <row r="94" spans="1:6">
      <c r="A94" t="s">
        <v>114</v>
      </c>
      <c r="B94" t="s">
        <v>454</v>
      </c>
      <c r="C94" t="s">
        <v>115</v>
      </c>
      <c r="D94" t="s">
        <v>326</v>
      </c>
      <c r="E94" s="2">
        <f t="shared" si="1"/>
        <v>1</v>
      </c>
      <c r="F94" t="s">
        <v>327</v>
      </c>
    </row>
    <row r="95" hidden="1" spans="1:7">
      <c r="A95" t="s">
        <v>114</v>
      </c>
      <c r="B95" t="s">
        <v>455</v>
      </c>
      <c r="C95" t="s">
        <v>115</v>
      </c>
      <c r="D95" t="s">
        <v>329</v>
      </c>
      <c r="E95" s="2">
        <f t="shared" si="1"/>
        <v>2</v>
      </c>
      <c r="F95" t="s">
        <v>330</v>
      </c>
      <c r="G95" t="s">
        <v>327</v>
      </c>
    </row>
    <row r="96" spans="1:7">
      <c r="A96" t="s">
        <v>116</v>
      </c>
      <c r="B96" t="s">
        <v>456</v>
      </c>
      <c r="C96" t="s">
        <v>117</v>
      </c>
      <c r="D96" t="s">
        <v>326</v>
      </c>
      <c r="E96" s="2">
        <f t="shared" si="1"/>
        <v>2</v>
      </c>
      <c r="F96" t="s">
        <v>368</v>
      </c>
      <c r="G96" t="s">
        <v>369</v>
      </c>
    </row>
    <row r="97" hidden="1" spans="1:8">
      <c r="A97" t="s">
        <v>116</v>
      </c>
      <c r="B97" t="s">
        <v>457</v>
      </c>
      <c r="C97" t="s">
        <v>117</v>
      </c>
      <c r="D97" t="s">
        <v>329</v>
      </c>
      <c r="E97" s="2">
        <f t="shared" si="1"/>
        <v>3</v>
      </c>
      <c r="F97" t="s">
        <v>330</v>
      </c>
      <c r="G97" t="s">
        <v>368</v>
      </c>
      <c r="H97" t="s">
        <v>369</v>
      </c>
    </row>
    <row r="98" spans="1:7">
      <c r="A98" t="s">
        <v>118</v>
      </c>
      <c r="B98" t="s">
        <v>458</v>
      </c>
      <c r="C98" t="s">
        <v>119</v>
      </c>
      <c r="D98" t="s">
        <v>326</v>
      </c>
      <c r="E98" s="2">
        <f t="shared" si="1"/>
        <v>2</v>
      </c>
      <c r="F98" t="s">
        <v>459</v>
      </c>
      <c r="G98" t="s">
        <v>460</v>
      </c>
    </row>
    <row r="99" hidden="1" spans="1:8">
      <c r="A99" t="s">
        <v>118</v>
      </c>
      <c r="B99" t="s">
        <v>461</v>
      </c>
      <c r="C99" t="s">
        <v>119</v>
      </c>
      <c r="D99" t="s">
        <v>329</v>
      </c>
      <c r="E99" s="2">
        <f t="shared" si="1"/>
        <v>3</v>
      </c>
      <c r="F99" t="s">
        <v>330</v>
      </c>
      <c r="G99" t="s">
        <v>459</v>
      </c>
      <c r="H99" t="s">
        <v>460</v>
      </c>
    </row>
    <row r="100" spans="1:6">
      <c r="A100" t="s">
        <v>120</v>
      </c>
      <c r="B100" t="s">
        <v>462</v>
      </c>
      <c r="C100" t="s">
        <v>121</v>
      </c>
      <c r="D100" t="s">
        <v>326</v>
      </c>
      <c r="E100" s="2">
        <f t="shared" si="1"/>
        <v>1</v>
      </c>
      <c r="F100" t="s">
        <v>327</v>
      </c>
    </row>
    <row r="101" hidden="1" spans="1:7">
      <c r="A101" t="s">
        <v>120</v>
      </c>
      <c r="B101" t="s">
        <v>463</v>
      </c>
      <c r="C101" t="s">
        <v>121</v>
      </c>
      <c r="D101" t="s">
        <v>329</v>
      </c>
      <c r="E101" s="2">
        <f t="shared" si="1"/>
        <v>2</v>
      </c>
      <c r="F101" t="s">
        <v>330</v>
      </c>
      <c r="G101" t="s">
        <v>327</v>
      </c>
    </row>
    <row r="102" spans="1:9">
      <c r="A102" t="s">
        <v>122</v>
      </c>
      <c r="B102" t="s">
        <v>464</v>
      </c>
      <c r="C102" t="s">
        <v>123</v>
      </c>
      <c r="D102" t="s">
        <v>326</v>
      </c>
      <c r="E102" s="2">
        <f t="shared" si="1"/>
        <v>4</v>
      </c>
      <c r="F102" t="s">
        <v>465</v>
      </c>
      <c r="G102" t="s">
        <v>466</v>
      </c>
      <c r="H102" t="s">
        <v>467</v>
      </c>
      <c r="I102" t="s">
        <v>468</v>
      </c>
    </row>
    <row r="103" hidden="1" spans="1:10">
      <c r="A103" t="s">
        <v>122</v>
      </c>
      <c r="B103" t="s">
        <v>469</v>
      </c>
      <c r="C103" t="s">
        <v>123</v>
      </c>
      <c r="D103" t="s">
        <v>329</v>
      </c>
      <c r="E103" s="2">
        <f t="shared" si="1"/>
        <v>5</v>
      </c>
      <c r="F103" t="s">
        <v>330</v>
      </c>
      <c r="G103" t="s">
        <v>465</v>
      </c>
      <c r="H103" t="s">
        <v>466</v>
      </c>
      <c r="I103" t="s">
        <v>467</v>
      </c>
      <c r="J103" t="s">
        <v>468</v>
      </c>
    </row>
    <row r="104" spans="1:6">
      <c r="A104" t="s">
        <v>124</v>
      </c>
      <c r="B104" t="s">
        <v>470</v>
      </c>
      <c r="C104" t="s">
        <v>125</v>
      </c>
      <c r="D104" t="s">
        <v>326</v>
      </c>
      <c r="E104" s="2">
        <f t="shared" si="1"/>
        <v>1</v>
      </c>
      <c r="F104" t="s">
        <v>378</v>
      </c>
    </row>
    <row r="105" hidden="1" spans="1:6">
      <c r="A105" t="s">
        <v>124</v>
      </c>
      <c r="B105" t="s">
        <v>471</v>
      </c>
      <c r="C105" t="s">
        <v>125</v>
      </c>
      <c r="D105" t="s">
        <v>329</v>
      </c>
      <c r="E105" s="2">
        <f t="shared" si="1"/>
        <v>1</v>
      </c>
      <c r="F105" t="s">
        <v>330</v>
      </c>
    </row>
    <row r="106" spans="1:6">
      <c r="A106" t="s">
        <v>126</v>
      </c>
      <c r="B106" t="s">
        <v>472</v>
      </c>
      <c r="C106" t="s">
        <v>127</v>
      </c>
      <c r="D106" t="s">
        <v>326</v>
      </c>
      <c r="E106" s="2">
        <f t="shared" si="1"/>
        <v>1</v>
      </c>
      <c r="F106" t="s">
        <v>378</v>
      </c>
    </row>
    <row r="107" hidden="1" spans="1:6">
      <c r="A107" t="s">
        <v>126</v>
      </c>
      <c r="B107" t="s">
        <v>473</v>
      </c>
      <c r="C107" t="s">
        <v>127</v>
      </c>
      <c r="D107" t="s">
        <v>329</v>
      </c>
      <c r="E107" s="2">
        <f t="shared" si="1"/>
        <v>1</v>
      </c>
      <c r="F107" t="s">
        <v>330</v>
      </c>
    </row>
    <row r="108" spans="1:6">
      <c r="A108" t="s">
        <v>128</v>
      </c>
      <c r="B108" t="s">
        <v>474</v>
      </c>
      <c r="C108" t="s">
        <v>129</v>
      </c>
      <c r="D108" t="s">
        <v>326</v>
      </c>
      <c r="E108" s="2">
        <f t="shared" si="1"/>
        <v>1</v>
      </c>
      <c r="F108" t="s">
        <v>327</v>
      </c>
    </row>
    <row r="109" hidden="1" spans="1:7">
      <c r="A109" t="s">
        <v>128</v>
      </c>
      <c r="B109" t="s">
        <v>475</v>
      </c>
      <c r="C109" t="s">
        <v>129</v>
      </c>
      <c r="D109" t="s">
        <v>329</v>
      </c>
      <c r="E109" s="2">
        <f t="shared" si="1"/>
        <v>2</v>
      </c>
      <c r="F109" t="s">
        <v>330</v>
      </c>
      <c r="G109" t="s">
        <v>327</v>
      </c>
    </row>
    <row r="110" spans="1:6">
      <c r="A110" t="s">
        <v>130</v>
      </c>
      <c r="B110" t="s">
        <v>476</v>
      </c>
      <c r="C110" t="s">
        <v>131</v>
      </c>
      <c r="D110" t="s">
        <v>326</v>
      </c>
      <c r="E110" s="2">
        <f t="shared" si="1"/>
        <v>1</v>
      </c>
      <c r="F110" t="s">
        <v>327</v>
      </c>
    </row>
    <row r="111" hidden="1" spans="1:7">
      <c r="A111" t="s">
        <v>130</v>
      </c>
      <c r="B111" t="s">
        <v>477</v>
      </c>
      <c r="C111" t="s">
        <v>131</v>
      </c>
      <c r="D111" t="s">
        <v>329</v>
      </c>
      <c r="E111" s="2">
        <f t="shared" si="1"/>
        <v>2</v>
      </c>
      <c r="F111" t="s">
        <v>330</v>
      </c>
      <c r="G111" t="s">
        <v>327</v>
      </c>
    </row>
    <row r="112" spans="1:6">
      <c r="A112" t="s">
        <v>132</v>
      </c>
      <c r="B112" t="s">
        <v>478</v>
      </c>
      <c r="C112" t="s">
        <v>133</v>
      </c>
      <c r="D112" t="s">
        <v>326</v>
      </c>
      <c r="E112" s="2">
        <f t="shared" si="1"/>
        <v>1</v>
      </c>
      <c r="F112" t="s">
        <v>327</v>
      </c>
    </row>
    <row r="113" hidden="1" spans="1:7">
      <c r="A113" t="s">
        <v>132</v>
      </c>
      <c r="B113" t="s">
        <v>479</v>
      </c>
      <c r="C113" t="s">
        <v>133</v>
      </c>
      <c r="D113" t="s">
        <v>329</v>
      </c>
      <c r="E113" s="2">
        <f t="shared" si="1"/>
        <v>2</v>
      </c>
      <c r="F113" t="s">
        <v>330</v>
      </c>
      <c r="G113" t="s">
        <v>327</v>
      </c>
    </row>
    <row r="114" spans="1:6">
      <c r="A114" t="s">
        <v>134</v>
      </c>
      <c r="B114" t="s">
        <v>480</v>
      </c>
      <c r="C114" t="s">
        <v>135</v>
      </c>
      <c r="D114" t="s">
        <v>326</v>
      </c>
      <c r="E114" s="2">
        <f t="shared" si="1"/>
        <v>1</v>
      </c>
      <c r="F114" t="s">
        <v>338</v>
      </c>
    </row>
    <row r="115" hidden="1" spans="1:7">
      <c r="A115" t="s">
        <v>134</v>
      </c>
      <c r="B115" t="s">
        <v>481</v>
      </c>
      <c r="C115" t="s">
        <v>135</v>
      </c>
      <c r="D115" t="s">
        <v>329</v>
      </c>
      <c r="E115" s="2">
        <f t="shared" si="1"/>
        <v>2</v>
      </c>
      <c r="F115" t="s">
        <v>330</v>
      </c>
      <c r="G115" t="s">
        <v>338</v>
      </c>
    </row>
    <row r="116" spans="1:6">
      <c r="A116" t="s">
        <v>136</v>
      </c>
      <c r="B116" t="s">
        <v>482</v>
      </c>
      <c r="C116" t="s">
        <v>137</v>
      </c>
      <c r="D116" t="s">
        <v>326</v>
      </c>
      <c r="E116" s="2">
        <f t="shared" si="1"/>
        <v>1</v>
      </c>
      <c r="F116" t="s">
        <v>327</v>
      </c>
    </row>
    <row r="117" hidden="1" spans="1:7">
      <c r="A117" t="s">
        <v>136</v>
      </c>
      <c r="B117" t="s">
        <v>483</v>
      </c>
      <c r="C117" t="s">
        <v>137</v>
      </c>
      <c r="D117" t="s">
        <v>329</v>
      </c>
      <c r="E117" s="2">
        <f t="shared" si="1"/>
        <v>2</v>
      </c>
      <c r="F117" t="s">
        <v>330</v>
      </c>
      <c r="G117" t="s">
        <v>327</v>
      </c>
    </row>
    <row r="118" spans="1:6">
      <c r="A118" t="s">
        <v>138</v>
      </c>
      <c r="B118" t="s">
        <v>484</v>
      </c>
      <c r="C118" t="s">
        <v>139</v>
      </c>
      <c r="D118" t="s">
        <v>326</v>
      </c>
      <c r="E118" s="2">
        <f t="shared" si="1"/>
        <v>1</v>
      </c>
      <c r="F118" t="s">
        <v>327</v>
      </c>
    </row>
    <row r="119" hidden="1" spans="1:7">
      <c r="A119" t="s">
        <v>138</v>
      </c>
      <c r="B119" t="s">
        <v>485</v>
      </c>
      <c r="C119" t="s">
        <v>139</v>
      </c>
      <c r="D119" t="s">
        <v>329</v>
      </c>
      <c r="E119" s="2">
        <f t="shared" si="1"/>
        <v>2</v>
      </c>
      <c r="F119" t="s">
        <v>330</v>
      </c>
      <c r="G119" t="s">
        <v>327</v>
      </c>
    </row>
    <row r="120" spans="1:7">
      <c r="A120" t="s">
        <v>140</v>
      </c>
      <c r="B120" t="s">
        <v>486</v>
      </c>
      <c r="C120" t="s">
        <v>141</v>
      </c>
      <c r="D120" t="s">
        <v>326</v>
      </c>
      <c r="E120" s="2">
        <f t="shared" si="1"/>
        <v>2</v>
      </c>
      <c r="F120" t="s">
        <v>487</v>
      </c>
      <c r="G120" t="s">
        <v>488</v>
      </c>
    </row>
    <row r="121" hidden="1" spans="1:8">
      <c r="A121" t="s">
        <v>140</v>
      </c>
      <c r="B121" t="s">
        <v>489</v>
      </c>
      <c r="C121" t="s">
        <v>141</v>
      </c>
      <c r="D121" t="s">
        <v>329</v>
      </c>
      <c r="E121" s="2">
        <f t="shared" si="1"/>
        <v>3</v>
      </c>
      <c r="F121" t="s">
        <v>330</v>
      </c>
      <c r="G121" t="s">
        <v>487</v>
      </c>
      <c r="H121" t="s">
        <v>488</v>
      </c>
    </row>
    <row r="122" spans="1:6">
      <c r="A122" t="s">
        <v>142</v>
      </c>
      <c r="B122" t="s">
        <v>490</v>
      </c>
      <c r="C122" t="s">
        <v>143</v>
      </c>
      <c r="D122" t="s">
        <v>326</v>
      </c>
      <c r="E122" s="2">
        <f t="shared" si="1"/>
        <v>1</v>
      </c>
      <c r="F122" t="s">
        <v>327</v>
      </c>
    </row>
    <row r="123" hidden="1" spans="1:7">
      <c r="A123" t="s">
        <v>142</v>
      </c>
      <c r="B123" t="s">
        <v>491</v>
      </c>
      <c r="C123" t="s">
        <v>143</v>
      </c>
      <c r="D123" t="s">
        <v>329</v>
      </c>
      <c r="E123" s="2">
        <f t="shared" si="1"/>
        <v>2</v>
      </c>
      <c r="F123" t="s">
        <v>330</v>
      </c>
      <c r="G123" t="s">
        <v>327</v>
      </c>
    </row>
    <row r="124" spans="1:6">
      <c r="A124" t="s">
        <v>144</v>
      </c>
      <c r="B124" t="s">
        <v>492</v>
      </c>
      <c r="C124" t="s">
        <v>145</v>
      </c>
      <c r="D124" t="s">
        <v>326</v>
      </c>
      <c r="E124" s="2">
        <f t="shared" si="1"/>
        <v>1</v>
      </c>
      <c r="F124" t="s">
        <v>327</v>
      </c>
    </row>
    <row r="125" hidden="1" spans="1:7">
      <c r="A125" t="s">
        <v>144</v>
      </c>
      <c r="B125" t="s">
        <v>493</v>
      </c>
      <c r="C125" t="s">
        <v>145</v>
      </c>
      <c r="D125" t="s">
        <v>329</v>
      </c>
      <c r="E125" s="2">
        <f t="shared" si="1"/>
        <v>2</v>
      </c>
      <c r="F125" t="s">
        <v>330</v>
      </c>
      <c r="G125" t="s">
        <v>327</v>
      </c>
    </row>
    <row r="126" spans="1:6">
      <c r="A126" t="s">
        <v>146</v>
      </c>
      <c r="B126" t="s">
        <v>494</v>
      </c>
      <c r="C126" t="s">
        <v>147</v>
      </c>
      <c r="D126" t="s">
        <v>326</v>
      </c>
      <c r="E126" s="2">
        <f t="shared" si="1"/>
        <v>1</v>
      </c>
      <c r="F126" t="s">
        <v>327</v>
      </c>
    </row>
    <row r="127" hidden="1" spans="1:7">
      <c r="A127" t="s">
        <v>146</v>
      </c>
      <c r="B127" t="s">
        <v>495</v>
      </c>
      <c r="C127" t="s">
        <v>147</v>
      </c>
      <c r="D127" t="s">
        <v>329</v>
      </c>
      <c r="E127" s="2">
        <f t="shared" si="1"/>
        <v>2</v>
      </c>
      <c r="F127" t="s">
        <v>330</v>
      </c>
      <c r="G127" t="s">
        <v>327</v>
      </c>
    </row>
    <row r="128" spans="1:6">
      <c r="A128" t="s">
        <v>148</v>
      </c>
      <c r="B128" t="s">
        <v>496</v>
      </c>
      <c r="C128" t="s">
        <v>149</v>
      </c>
      <c r="D128" t="s">
        <v>326</v>
      </c>
      <c r="E128" s="2">
        <f t="shared" si="1"/>
        <v>1</v>
      </c>
      <c r="F128" t="s">
        <v>327</v>
      </c>
    </row>
    <row r="129" hidden="1" spans="1:7">
      <c r="A129" t="s">
        <v>148</v>
      </c>
      <c r="B129" t="s">
        <v>497</v>
      </c>
      <c r="C129" t="s">
        <v>149</v>
      </c>
      <c r="D129" t="s">
        <v>329</v>
      </c>
      <c r="E129" s="2">
        <f t="shared" si="1"/>
        <v>2</v>
      </c>
      <c r="F129" t="s">
        <v>330</v>
      </c>
      <c r="G129" t="s">
        <v>327</v>
      </c>
    </row>
    <row r="130" spans="1:8">
      <c r="A130" t="s">
        <v>150</v>
      </c>
      <c r="B130" t="s">
        <v>498</v>
      </c>
      <c r="C130" t="s">
        <v>151</v>
      </c>
      <c r="D130" t="s">
        <v>326</v>
      </c>
      <c r="E130" s="2">
        <f t="shared" si="1"/>
        <v>3</v>
      </c>
      <c r="F130" t="s">
        <v>368</v>
      </c>
      <c r="G130" t="s">
        <v>327</v>
      </c>
      <c r="H130" t="s">
        <v>369</v>
      </c>
    </row>
    <row r="131" hidden="1" spans="1:9">
      <c r="A131" t="s">
        <v>150</v>
      </c>
      <c r="B131" t="s">
        <v>499</v>
      </c>
      <c r="C131" t="s">
        <v>151</v>
      </c>
      <c r="D131" t="s">
        <v>329</v>
      </c>
      <c r="E131" s="2">
        <f t="shared" ref="E131:E193" si="2">COUNTA(F131:O131)</f>
        <v>4</v>
      </c>
      <c r="F131" t="s">
        <v>330</v>
      </c>
      <c r="G131" t="s">
        <v>368</v>
      </c>
      <c r="H131" t="s">
        <v>327</v>
      </c>
      <c r="I131" t="s">
        <v>369</v>
      </c>
    </row>
    <row r="132" spans="1:7">
      <c r="A132" t="s">
        <v>152</v>
      </c>
      <c r="B132" t="s">
        <v>500</v>
      </c>
      <c r="C132" t="s">
        <v>153</v>
      </c>
      <c r="D132" t="s">
        <v>326</v>
      </c>
      <c r="E132" s="2">
        <f t="shared" si="2"/>
        <v>2</v>
      </c>
      <c r="F132" t="s">
        <v>501</v>
      </c>
      <c r="G132" t="s">
        <v>327</v>
      </c>
    </row>
    <row r="133" hidden="1" spans="1:8">
      <c r="A133" t="s">
        <v>152</v>
      </c>
      <c r="B133" t="s">
        <v>502</v>
      </c>
      <c r="C133" t="s">
        <v>153</v>
      </c>
      <c r="D133" t="s">
        <v>329</v>
      </c>
      <c r="E133" s="2">
        <f t="shared" si="2"/>
        <v>3</v>
      </c>
      <c r="F133" t="s">
        <v>330</v>
      </c>
      <c r="G133" t="s">
        <v>501</v>
      </c>
      <c r="H133" t="s">
        <v>327</v>
      </c>
    </row>
    <row r="134" spans="1:6">
      <c r="A134" t="s">
        <v>154</v>
      </c>
      <c r="B134" t="s">
        <v>503</v>
      </c>
      <c r="C134" t="s">
        <v>155</v>
      </c>
      <c r="D134" t="s">
        <v>326</v>
      </c>
      <c r="E134" s="2">
        <f t="shared" si="2"/>
        <v>1</v>
      </c>
      <c r="F134" t="s">
        <v>327</v>
      </c>
    </row>
    <row r="135" hidden="1" spans="1:7">
      <c r="A135" t="s">
        <v>154</v>
      </c>
      <c r="B135" t="s">
        <v>504</v>
      </c>
      <c r="C135" t="s">
        <v>155</v>
      </c>
      <c r="D135" t="s">
        <v>329</v>
      </c>
      <c r="E135" s="2">
        <f t="shared" si="2"/>
        <v>2</v>
      </c>
      <c r="F135" t="s">
        <v>330</v>
      </c>
      <c r="G135" t="s">
        <v>327</v>
      </c>
    </row>
    <row r="136" spans="1:6">
      <c r="A136" t="s">
        <v>156</v>
      </c>
      <c r="B136" t="s">
        <v>505</v>
      </c>
      <c r="C136" t="s">
        <v>157</v>
      </c>
      <c r="D136" t="s">
        <v>326</v>
      </c>
      <c r="E136" s="2">
        <f t="shared" si="2"/>
        <v>1</v>
      </c>
      <c r="F136" t="s">
        <v>327</v>
      </c>
    </row>
    <row r="137" hidden="1" spans="1:7">
      <c r="A137" t="s">
        <v>156</v>
      </c>
      <c r="B137" t="s">
        <v>506</v>
      </c>
      <c r="C137" t="s">
        <v>157</v>
      </c>
      <c r="D137" t="s">
        <v>329</v>
      </c>
      <c r="E137" s="2">
        <f t="shared" si="2"/>
        <v>2</v>
      </c>
      <c r="F137" t="s">
        <v>330</v>
      </c>
      <c r="G137" t="s">
        <v>327</v>
      </c>
    </row>
    <row r="138" spans="1:6">
      <c r="A138" t="s">
        <v>158</v>
      </c>
      <c r="B138" t="s">
        <v>507</v>
      </c>
      <c r="C138" t="s">
        <v>159</v>
      </c>
      <c r="D138" t="s">
        <v>326</v>
      </c>
      <c r="E138" s="2">
        <f t="shared" si="2"/>
        <v>1</v>
      </c>
      <c r="F138" t="s">
        <v>327</v>
      </c>
    </row>
    <row r="139" hidden="1" spans="1:7">
      <c r="A139" t="s">
        <v>158</v>
      </c>
      <c r="B139" t="s">
        <v>508</v>
      </c>
      <c r="C139" t="s">
        <v>159</v>
      </c>
      <c r="D139" t="s">
        <v>329</v>
      </c>
      <c r="E139" s="2">
        <f t="shared" si="2"/>
        <v>2</v>
      </c>
      <c r="F139" t="s">
        <v>330</v>
      </c>
      <c r="G139" t="s">
        <v>327</v>
      </c>
    </row>
    <row r="140" spans="1:6">
      <c r="A140" t="s">
        <v>160</v>
      </c>
      <c r="B140" t="s">
        <v>509</v>
      </c>
      <c r="C140" t="s">
        <v>161</v>
      </c>
      <c r="D140" t="s">
        <v>326</v>
      </c>
      <c r="E140" s="2">
        <f t="shared" si="2"/>
        <v>1</v>
      </c>
      <c r="F140" t="s">
        <v>327</v>
      </c>
    </row>
    <row r="141" hidden="1" spans="1:7">
      <c r="A141" t="s">
        <v>160</v>
      </c>
      <c r="B141" t="s">
        <v>510</v>
      </c>
      <c r="C141" t="s">
        <v>161</v>
      </c>
      <c r="D141" t="s">
        <v>329</v>
      </c>
      <c r="E141" s="2">
        <f t="shared" si="2"/>
        <v>2</v>
      </c>
      <c r="F141" t="s">
        <v>330</v>
      </c>
      <c r="G141" t="s">
        <v>327</v>
      </c>
    </row>
    <row r="142" spans="1:6">
      <c r="A142" t="s">
        <v>162</v>
      </c>
      <c r="B142" t="s">
        <v>511</v>
      </c>
      <c r="C142" t="s">
        <v>163</v>
      </c>
      <c r="D142" t="s">
        <v>326</v>
      </c>
      <c r="E142" s="2">
        <f t="shared" si="2"/>
        <v>1</v>
      </c>
      <c r="F142" t="s">
        <v>327</v>
      </c>
    </row>
    <row r="143" hidden="1" spans="1:7">
      <c r="A143" t="s">
        <v>162</v>
      </c>
      <c r="B143" t="s">
        <v>512</v>
      </c>
      <c r="C143" t="s">
        <v>163</v>
      </c>
      <c r="D143" t="s">
        <v>329</v>
      </c>
      <c r="E143" s="2">
        <f t="shared" si="2"/>
        <v>2</v>
      </c>
      <c r="F143" t="s">
        <v>330</v>
      </c>
      <c r="G143" t="s">
        <v>327</v>
      </c>
    </row>
    <row r="144" spans="1:8">
      <c r="A144" t="s">
        <v>164</v>
      </c>
      <c r="B144" t="s">
        <v>513</v>
      </c>
      <c r="C144" t="s">
        <v>165</v>
      </c>
      <c r="D144" t="s">
        <v>326</v>
      </c>
      <c r="E144" s="2">
        <f t="shared" si="2"/>
        <v>3</v>
      </c>
      <c r="F144" t="s">
        <v>368</v>
      </c>
      <c r="G144" t="s">
        <v>369</v>
      </c>
      <c r="H144" t="s">
        <v>338</v>
      </c>
    </row>
    <row r="145" hidden="1" spans="1:9">
      <c r="A145" t="s">
        <v>164</v>
      </c>
      <c r="B145" t="s">
        <v>514</v>
      </c>
      <c r="C145" t="s">
        <v>165</v>
      </c>
      <c r="D145" t="s">
        <v>329</v>
      </c>
      <c r="E145" s="2">
        <f t="shared" si="2"/>
        <v>4</v>
      </c>
      <c r="F145" t="s">
        <v>330</v>
      </c>
      <c r="G145" t="s">
        <v>368</v>
      </c>
      <c r="H145" t="s">
        <v>369</v>
      </c>
      <c r="I145" t="s">
        <v>338</v>
      </c>
    </row>
    <row r="146" spans="1:8">
      <c r="A146" t="s">
        <v>166</v>
      </c>
      <c r="B146" t="s">
        <v>515</v>
      </c>
      <c r="C146" t="s">
        <v>167</v>
      </c>
      <c r="D146" t="s">
        <v>326</v>
      </c>
      <c r="E146" s="2">
        <f t="shared" si="2"/>
        <v>3</v>
      </c>
      <c r="F146" t="s">
        <v>516</v>
      </c>
      <c r="G146" t="s">
        <v>517</v>
      </c>
      <c r="H146" t="s">
        <v>327</v>
      </c>
    </row>
    <row r="147" hidden="1" spans="1:9">
      <c r="A147" t="s">
        <v>166</v>
      </c>
      <c r="B147" t="s">
        <v>518</v>
      </c>
      <c r="C147" t="s">
        <v>167</v>
      </c>
      <c r="D147" t="s">
        <v>329</v>
      </c>
      <c r="E147" s="2">
        <f t="shared" si="2"/>
        <v>4</v>
      </c>
      <c r="F147" t="s">
        <v>330</v>
      </c>
      <c r="G147" t="s">
        <v>516</v>
      </c>
      <c r="H147" t="s">
        <v>517</v>
      </c>
      <c r="I147" t="s">
        <v>327</v>
      </c>
    </row>
    <row r="148" spans="1:7">
      <c r="A148" t="s">
        <v>168</v>
      </c>
      <c r="B148" t="s">
        <v>519</v>
      </c>
      <c r="C148" t="s">
        <v>169</v>
      </c>
      <c r="D148" t="s">
        <v>326</v>
      </c>
      <c r="E148" s="2">
        <f t="shared" si="2"/>
        <v>2</v>
      </c>
      <c r="F148" t="s">
        <v>520</v>
      </c>
      <c r="G148" t="s">
        <v>521</v>
      </c>
    </row>
    <row r="149" hidden="1" spans="1:8">
      <c r="A149" t="s">
        <v>168</v>
      </c>
      <c r="B149" t="s">
        <v>522</v>
      </c>
      <c r="C149" t="s">
        <v>169</v>
      </c>
      <c r="D149" t="s">
        <v>329</v>
      </c>
      <c r="E149" s="2">
        <f t="shared" si="2"/>
        <v>3</v>
      </c>
      <c r="F149" t="s">
        <v>330</v>
      </c>
      <c r="G149" t="s">
        <v>520</v>
      </c>
      <c r="H149" t="s">
        <v>521</v>
      </c>
    </row>
    <row r="150" spans="1:6">
      <c r="A150" t="s">
        <v>170</v>
      </c>
      <c r="B150" t="s">
        <v>523</v>
      </c>
      <c r="C150" t="s">
        <v>171</v>
      </c>
      <c r="D150" t="s">
        <v>326</v>
      </c>
      <c r="E150" s="2">
        <f t="shared" si="2"/>
        <v>1</v>
      </c>
      <c r="F150" t="s">
        <v>327</v>
      </c>
    </row>
    <row r="151" hidden="1" spans="1:7">
      <c r="A151" t="s">
        <v>170</v>
      </c>
      <c r="B151" t="s">
        <v>524</v>
      </c>
      <c r="C151" t="s">
        <v>171</v>
      </c>
      <c r="D151" t="s">
        <v>329</v>
      </c>
      <c r="E151" s="2">
        <f t="shared" si="2"/>
        <v>2</v>
      </c>
      <c r="F151" t="s">
        <v>330</v>
      </c>
      <c r="G151" t="s">
        <v>327</v>
      </c>
    </row>
    <row r="152" spans="1:6">
      <c r="A152" t="s">
        <v>172</v>
      </c>
      <c r="B152" t="s">
        <v>525</v>
      </c>
      <c r="C152" t="s">
        <v>173</v>
      </c>
      <c r="D152" t="s">
        <v>326</v>
      </c>
      <c r="E152" s="2">
        <f t="shared" si="2"/>
        <v>1</v>
      </c>
      <c r="F152" t="s">
        <v>327</v>
      </c>
    </row>
    <row r="153" hidden="1" spans="1:7">
      <c r="A153" t="s">
        <v>172</v>
      </c>
      <c r="B153" t="s">
        <v>526</v>
      </c>
      <c r="C153" t="s">
        <v>173</v>
      </c>
      <c r="D153" t="s">
        <v>329</v>
      </c>
      <c r="E153" s="2">
        <f t="shared" si="2"/>
        <v>2</v>
      </c>
      <c r="F153" t="s">
        <v>330</v>
      </c>
      <c r="G153" t="s">
        <v>327</v>
      </c>
    </row>
    <row r="154" spans="1:6">
      <c r="A154" t="s">
        <v>174</v>
      </c>
      <c r="B154" t="s">
        <v>527</v>
      </c>
      <c r="C154" t="s">
        <v>175</v>
      </c>
      <c r="D154" t="s">
        <v>326</v>
      </c>
      <c r="E154" s="2">
        <f t="shared" si="2"/>
        <v>1</v>
      </c>
      <c r="F154" t="s">
        <v>327</v>
      </c>
    </row>
    <row r="155" hidden="1" spans="1:7">
      <c r="A155" t="s">
        <v>174</v>
      </c>
      <c r="B155" t="s">
        <v>528</v>
      </c>
      <c r="C155" t="s">
        <v>175</v>
      </c>
      <c r="D155" t="s">
        <v>329</v>
      </c>
      <c r="E155" s="2">
        <f t="shared" si="2"/>
        <v>2</v>
      </c>
      <c r="F155" t="s">
        <v>330</v>
      </c>
      <c r="G155" t="s">
        <v>327</v>
      </c>
    </row>
    <row r="156" spans="1:6">
      <c r="A156" t="s">
        <v>176</v>
      </c>
      <c r="B156" t="s">
        <v>529</v>
      </c>
      <c r="C156" t="s">
        <v>177</v>
      </c>
      <c r="D156" t="s">
        <v>326</v>
      </c>
      <c r="E156" s="2">
        <f t="shared" si="2"/>
        <v>1</v>
      </c>
      <c r="F156" t="s">
        <v>327</v>
      </c>
    </row>
    <row r="157" hidden="1" spans="1:7">
      <c r="A157" t="s">
        <v>176</v>
      </c>
      <c r="B157" t="s">
        <v>530</v>
      </c>
      <c r="C157" t="s">
        <v>177</v>
      </c>
      <c r="D157" t="s">
        <v>329</v>
      </c>
      <c r="E157" s="2">
        <f t="shared" si="2"/>
        <v>2</v>
      </c>
      <c r="F157" t="s">
        <v>330</v>
      </c>
      <c r="G157" t="s">
        <v>327</v>
      </c>
    </row>
    <row r="158" spans="1:9">
      <c r="A158" t="s">
        <v>178</v>
      </c>
      <c r="B158" t="s">
        <v>531</v>
      </c>
      <c r="C158" t="s">
        <v>179</v>
      </c>
      <c r="D158" t="s">
        <v>326</v>
      </c>
      <c r="E158" s="2">
        <f t="shared" si="2"/>
        <v>4</v>
      </c>
      <c r="F158" t="s">
        <v>532</v>
      </c>
      <c r="G158" t="s">
        <v>533</v>
      </c>
      <c r="H158" t="s">
        <v>534</v>
      </c>
      <c r="I158" t="s">
        <v>535</v>
      </c>
    </row>
    <row r="159" hidden="1" spans="1:10">
      <c r="A159" t="s">
        <v>178</v>
      </c>
      <c r="B159" t="s">
        <v>536</v>
      </c>
      <c r="C159" t="s">
        <v>179</v>
      </c>
      <c r="D159" t="s">
        <v>329</v>
      </c>
      <c r="E159" s="2">
        <f t="shared" si="2"/>
        <v>5</v>
      </c>
      <c r="F159" t="s">
        <v>330</v>
      </c>
      <c r="G159" t="s">
        <v>532</v>
      </c>
      <c r="H159" t="s">
        <v>533</v>
      </c>
      <c r="I159" t="s">
        <v>534</v>
      </c>
      <c r="J159" t="s">
        <v>535</v>
      </c>
    </row>
    <row r="160" spans="1:9">
      <c r="A160" t="s">
        <v>180</v>
      </c>
      <c r="B160" t="s">
        <v>537</v>
      </c>
      <c r="C160" t="s">
        <v>181</v>
      </c>
      <c r="D160" t="s">
        <v>326</v>
      </c>
      <c r="E160" s="2">
        <f t="shared" si="2"/>
        <v>4</v>
      </c>
      <c r="F160" t="s">
        <v>532</v>
      </c>
      <c r="G160" t="s">
        <v>538</v>
      </c>
      <c r="H160" t="s">
        <v>539</v>
      </c>
      <c r="I160" t="s">
        <v>540</v>
      </c>
    </row>
    <row r="161" hidden="1" spans="1:10">
      <c r="A161" t="s">
        <v>180</v>
      </c>
      <c r="B161" t="s">
        <v>541</v>
      </c>
      <c r="C161" t="s">
        <v>181</v>
      </c>
      <c r="D161" t="s">
        <v>329</v>
      </c>
      <c r="E161" s="2">
        <f t="shared" si="2"/>
        <v>5</v>
      </c>
      <c r="F161" t="s">
        <v>330</v>
      </c>
      <c r="G161" t="s">
        <v>532</v>
      </c>
      <c r="H161" t="s">
        <v>538</v>
      </c>
      <c r="I161" t="s">
        <v>539</v>
      </c>
      <c r="J161" t="s">
        <v>540</v>
      </c>
    </row>
    <row r="162" spans="1:6">
      <c r="A162" t="s">
        <v>182</v>
      </c>
      <c r="B162" t="s">
        <v>542</v>
      </c>
      <c r="C162" t="s">
        <v>183</v>
      </c>
      <c r="D162" t="s">
        <v>326</v>
      </c>
      <c r="E162" s="2">
        <f t="shared" si="2"/>
        <v>1</v>
      </c>
      <c r="F162" t="s">
        <v>378</v>
      </c>
    </row>
    <row r="163" hidden="1" spans="1:6">
      <c r="A163" t="s">
        <v>182</v>
      </c>
      <c r="B163" t="s">
        <v>543</v>
      </c>
      <c r="C163" t="s">
        <v>183</v>
      </c>
      <c r="D163" t="s">
        <v>329</v>
      </c>
      <c r="E163" s="2">
        <f t="shared" si="2"/>
        <v>1</v>
      </c>
      <c r="F163" t="s">
        <v>330</v>
      </c>
    </row>
    <row r="164" spans="1:8">
      <c r="A164" t="s">
        <v>184</v>
      </c>
      <c r="B164" t="s">
        <v>544</v>
      </c>
      <c r="C164" t="s">
        <v>185</v>
      </c>
      <c r="D164" t="s">
        <v>326</v>
      </c>
      <c r="E164" s="2">
        <f t="shared" si="2"/>
        <v>3</v>
      </c>
      <c r="F164" t="s">
        <v>545</v>
      </c>
      <c r="G164" t="s">
        <v>546</v>
      </c>
      <c r="H164" t="s">
        <v>547</v>
      </c>
    </row>
    <row r="165" hidden="1" spans="1:9">
      <c r="A165" t="s">
        <v>184</v>
      </c>
      <c r="B165" t="s">
        <v>548</v>
      </c>
      <c r="C165" t="s">
        <v>185</v>
      </c>
      <c r="D165" t="s">
        <v>329</v>
      </c>
      <c r="E165" s="2">
        <f t="shared" si="2"/>
        <v>4</v>
      </c>
      <c r="F165" t="s">
        <v>330</v>
      </c>
      <c r="G165" t="s">
        <v>545</v>
      </c>
      <c r="H165" t="s">
        <v>546</v>
      </c>
      <c r="I165" t="s">
        <v>547</v>
      </c>
    </row>
    <row r="166" spans="1:7">
      <c r="A166" t="s">
        <v>186</v>
      </c>
      <c r="B166" t="s">
        <v>549</v>
      </c>
      <c r="C166" t="s">
        <v>187</v>
      </c>
      <c r="D166" t="s">
        <v>326</v>
      </c>
      <c r="E166" s="2">
        <f t="shared" si="2"/>
        <v>2</v>
      </c>
      <c r="F166" t="s">
        <v>327</v>
      </c>
      <c r="G166" t="s">
        <v>338</v>
      </c>
    </row>
    <row r="167" hidden="1" spans="1:8">
      <c r="A167" t="s">
        <v>186</v>
      </c>
      <c r="B167" t="s">
        <v>550</v>
      </c>
      <c r="C167" t="s">
        <v>187</v>
      </c>
      <c r="D167" t="s">
        <v>329</v>
      </c>
      <c r="E167" s="2">
        <f t="shared" si="2"/>
        <v>3</v>
      </c>
      <c r="F167" t="s">
        <v>330</v>
      </c>
      <c r="G167" t="s">
        <v>327</v>
      </c>
      <c r="H167" t="s">
        <v>338</v>
      </c>
    </row>
    <row r="168" spans="1:11">
      <c r="A168" t="s">
        <v>188</v>
      </c>
      <c r="B168" t="s">
        <v>551</v>
      </c>
      <c r="C168" t="s">
        <v>189</v>
      </c>
      <c r="D168" t="s">
        <v>326</v>
      </c>
      <c r="E168" s="2">
        <f t="shared" si="2"/>
        <v>6</v>
      </c>
      <c r="F168" t="s">
        <v>552</v>
      </c>
      <c r="G168" t="s">
        <v>553</v>
      </c>
      <c r="H168" t="s">
        <v>554</v>
      </c>
      <c r="I168" t="s">
        <v>555</v>
      </c>
      <c r="J168" t="s">
        <v>556</v>
      </c>
      <c r="K168" t="s">
        <v>419</v>
      </c>
    </row>
    <row r="169" hidden="1" spans="1:12">
      <c r="A169" t="s">
        <v>188</v>
      </c>
      <c r="B169" t="s">
        <v>557</v>
      </c>
      <c r="C169" t="s">
        <v>189</v>
      </c>
      <c r="D169" t="s">
        <v>329</v>
      </c>
      <c r="E169" s="2">
        <f t="shared" si="2"/>
        <v>7</v>
      </c>
      <c r="F169" t="s">
        <v>330</v>
      </c>
      <c r="G169" t="s">
        <v>552</v>
      </c>
      <c r="H169" t="s">
        <v>553</v>
      </c>
      <c r="I169" t="s">
        <v>554</v>
      </c>
      <c r="J169" t="s">
        <v>555</v>
      </c>
      <c r="K169" t="s">
        <v>556</v>
      </c>
      <c r="L169" t="s">
        <v>419</v>
      </c>
    </row>
    <row r="170" spans="1:8">
      <c r="A170" t="s">
        <v>192</v>
      </c>
      <c r="B170" t="s">
        <v>558</v>
      </c>
      <c r="C170" t="s">
        <v>193</v>
      </c>
      <c r="D170" t="s">
        <v>326</v>
      </c>
      <c r="E170" s="2">
        <f t="shared" si="2"/>
        <v>3</v>
      </c>
      <c r="F170" t="s">
        <v>368</v>
      </c>
      <c r="G170" t="s">
        <v>369</v>
      </c>
      <c r="H170" t="s">
        <v>338</v>
      </c>
    </row>
    <row r="171" hidden="1" spans="1:9">
      <c r="A171" t="s">
        <v>192</v>
      </c>
      <c r="B171" t="s">
        <v>559</v>
      </c>
      <c r="C171" t="s">
        <v>193</v>
      </c>
      <c r="D171" t="s">
        <v>329</v>
      </c>
      <c r="E171" s="2">
        <f t="shared" si="2"/>
        <v>4</v>
      </c>
      <c r="F171" t="s">
        <v>330</v>
      </c>
      <c r="G171" t="s">
        <v>368</v>
      </c>
      <c r="H171" t="s">
        <v>369</v>
      </c>
      <c r="I171" t="s">
        <v>338</v>
      </c>
    </row>
    <row r="172" spans="1:8">
      <c r="A172" t="s">
        <v>194</v>
      </c>
      <c r="B172" t="s">
        <v>560</v>
      </c>
      <c r="C172" t="s">
        <v>195</v>
      </c>
      <c r="D172" t="s">
        <v>326</v>
      </c>
      <c r="E172" s="2">
        <f t="shared" si="2"/>
        <v>3</v>
      </c>
      <c r="F172" t="s">
        <v>368</v>
      </c>
      <c r="G172" t="s">
        <v>369</v>
      </c>
      <c r="H172" t="s">
        <v>338</v>
      </c>
    </row>
    <row r="173" hidden="1" spans="1:9">
      <c r="A173" t="s">
        <v>194</v>
      </c>
      <c r="B173" t="s">
        <v>561</v>
      </c>
      <c r="C173" t="s">
        <v>195</v>
      </c>
      <c r="D173" t="s">
        <v>329</v>
      </c>
      <c r="E173" s="2">
        <f t="shared" si="2"/>
        <v>4</v>
      </c>
      <c r="F173" t="s">
        <v>330</v>
      </c>
      <c r="G173" t="s">
        <v>368</v>
      </c>
      <c r="H173" t="s">
        <v>369</v>
      </c>
      <c r="I173" t="s">
        <v>338</v>
      </c>
    </row>
    <row r="174" spans="1:6">
      <c r="A174" t="s">
        <v>196</v>
      </c>
      <c r="B174" t="s">
        <v>562</v>
      </c>
      <c r="C174" t="s">
        <v>197</v>
      </c>
      <c r="D174" t="s">
        <v>326</v>
      </c>
      <c r="E174" s="2">
        <f t="shared" si="2"/>
        <v>1</v>
      </c>
      <c r="F174" t="s">
        <v>378</v>
      </c>
    </row>
    <row r="175" hidden="1" spans="1:6">
      <c r="A175" t="s">
        <v>196</v>
      </c>
      <c r="B175" t="s">
        <v>563</v>
      </c>
      <c r="C175" t="s">
        <v>197</v>
      </c>
      <c r="D175" t="s">
        <v>329</v>
      </c>
      <c r="E175" s="2">
        <f t="shared" si="2"/>
        <v>1</v>
      </c>
      <c r="F175" t="s">
        <v>330</v>
      </c>
    </row>
    <row r="176" spans="1:6">
      <c r="A176" t="s">
        <v>198</v>
      </c>
      <c r="B176" t="s">
        <v>564</v>
      </c>
      <c r="C176" t="s">
        <v>199</v>
      </c>
      <c r="D176" t="s">
        <v>326</v>
      </c>
      <c r="E176" s="2">
        <f t="shared" si="2"/>
        <v>1</v>
      </c>
      <c r="F176" t="s">
        <v>378</v>
      </c>
    </row>
    <row r="177" hidden="1" spans="1:6">
      <c r="A177" t="s">
        <v>198</v>
      </c>
      <c r="B177" t="s">
        <v>565</v>
      </c>
      <c r="C177" t="s">
        <v>199</v>
      </c>
      <c r="D177" t="s">
        <v>329</v>
      </c>
      <c r="E177" s="2">
        <f t="shared" si="2"/>
        <v>1</v>
      </c>
      <c r="F177" t="s">
        <v>330</v>
      </c>
    </row>
    <row r="178" spans="1:6">
      <c r="A178" t="s">
        <v>200</v>
      </c>
      <c r="B178" t="s">
        <v>566</v>
      </c>
      <c r="C178" t="s">
        <v>201</v>
      </c>
      <c r="D178" t="s">
        <v>326</v>
      </c>
      <c r="E178" s="2">
        <f t="shared" si="2"/>
        <v>1</v>
      </c>
      <c r="F178" t="s">
        <v>356</v>
      </c>
    </row>
    <row r="179" hidden="1" spans="1:7">
      <c r="A179" t="s">
        <v>200</v>
      </c>
      <c r="B179" t="s">
        <v>567</v>
      </c>
      <c r="C179" t="s">
        <v>201</v>
      </c>
      <c r="D179" t="s">
        <v>329</v>
      </c>
      <c r="E179" s="2">
        <f t="shared" si="2"/>
        <v>2</v>
      </c>
      <c r="F179" t="s">
        <v>330</v>
      </c>
      <c r="G179" t="s">
        <v>356</v>
      </c>
    </row>
    <row r="180" spans="1:7">
      <c r="A180" t="s">
        <v>202</v>
      </c>
      <c r="B180" t="s">
        <v>568</v>
      </c>
      <c r="C180" t="s">
        <v>203</v>
      </c>
      <c r="D180" t="s">
        <v>326</v>
      </c>
      <c r="E180" s="2">
        <f t="shared" si="2"/>
        <v>2</v>
      </c>
      <c r="F180" t="s">
        <v>327</v>
      </c>
      <c r="G180" t="s">
        <v>569</v>
      </c>
    </row>
    <row r="181" hidden="1" spans="1:8">
      <c r="A181" t="s">
        <v>202</v>
      </c>
      <c r="B181" t="s">
        <v>570</v>
      </c>
      <c r="C181" t="s">
        <v>203</v>
      </c>
      <c r="D181" t="s">
        <v>329</v>
      </c>
      <c r="E181" s="2">
        <f t="shared" si="2"/>
        <v>3</v>
      </c>
      <c r="F181" t="s">
        <v>330</v>
      </c>
      <c r="G181" t="s">
        <v>327</v>
      </c>
      <c r="H181" t="s">
        <v>569</v>
      </c>
    </row>
    <row r="182" spans="1:7">
      <c r="A182" t="s">
        <v>204</v>
      </c>
      <c r="B182" t="s">
        <v>571</v>
      </c>
      <c r="C182" t="s">
        <v>205</v>
      </c>
      <c r="D182" t="s">
        <v>326</v>
      </c>
      <c r="E182" s="2">
        <f t="shared" si="2"/>
        <v>2</v>
      </c>
      <c r="F182" t="s">
        <v>572</v>
      </c>
      <c r="G182" t="s">
        <v>338</v>
      </c>
    </row>
    <row r="183" hidden="1" spans="1:8">
      <c r="A183" t="s">
        <v>204</v>
      </c>
      <c r="B183" t="s">
        <v>573</v>
      </c>
      <c r="C183" t="s">
        <v>205</v>
      </c>
      <c r="D183" t="s">
        <v>329</v>
      </c>
      <c r="E183" s="2">
        <f t="shared" si="2"/>
        <v>3</v>
      </c>
      <c r="F183" t="s">
        <v>330</v>
      </c>
      <c r="G183" t="s">
        <v>572</v>
      </c>
      <c r="H183" t="s">
        <v>338</v>
      </c>
    </row>
    <row r="184" spans="1:6">
      <c r="A184" t="s">
        <v>206</v>
      </c>
      <c r="B184" t="s">
        <v>574</v>
      </c>
      <c r="C184" t="s">
        <v>207</v>
      </c>
      <c r="D184" t="s">
        <v>326</v>
      </c>
      <c r="E184" s="2">
        <f t="shared" si="2"/>
        <v>1</v>
      </c>
      <c r="F184" t="s">
        <v>327</v>
      </c>
    </row>
    <row r="185" hidden="1" spans="1:7">
      <c r="A185" t="s">
        <v>206</v>
      </c>
      <c r="B185" t="s">
        <v>575</v>
      </c>
      <c r="C185" t="s">
        <v>207</v>
      </c>
      <c r="D185" t="s">
        <v>329</v>
      </c>
      <c r="E185" s="2">
        <f t="shared" si="2"/>
        <v>2</v>
      </c>
      <c r="F185" t="s">
        <v>330</v>
      </c>
      <c r="G185" t="s">
        <v>327</v>
      </c>
    </row>
    <row r="186" spans="1:7">
      <c r="A186" t="s">
        <v>208</v>
      </c>
      <c r="B186" t="s">
        <v>576</v>
      </c>
      <c r="C186" t="s">
        <v>209</v>
      </c>
      <c r="D186" t="s">
        <v>326</v>
      </c>
      <c r="E186" s="2">
        <f t="shared" si="2"/>
        <v>2</v>
      </c>
      <c r="F186" t="s">
        <v>327</v>
      </c>
      <c r="G186" t="s">
        <v>338</v>
      </c>
    </row>
    <row r="187" hidden="1" spans="1:8">
      <c r="A187" t="s">
        <v>208</v>
      </c>
      <c r="B187" t="s">
        <v>577</v>
      </c>
      <c r="C187" t="s">
        <v>209</v>
      </c>
      <c r="D187" t="s">
        <v>329</v>
      </c>
      <c r="E187" s="2">
        <f t="shared" si="2"/>
        <v>3</v>
      </c>
      <c r="F187" t="s">
        <v>330</v>
      </c>
      <c r="G187" t="s">
        <v>327</v>
      </c>
      <c r="H187" t="s">
        <v>338</v>
      </c>
    </row>
    <row r="188" spans="1:6">
      <c r="A188" t="s">
        <v>210</v>
      </c>
      <c r="B188" t="s">
        <v>578</v>
      </c>
      <c r="C188" t="s">
        <v>211</v>
      </c>
      <c r="D188" t="s">
        <v>326</v>
      </c>
      <c r="E188" s="2">
        <f t="shared" si="2"/>
        <v>1</v>
      </c>
      <c r="F188" t="s">
        <v>327</v>
      </c>
    </row>
    <row r="189" hidden="1" spans="1:7">
      <c r="A189" t="s">
        <v>210</v>
      </c>
      <c r="B189" t="s">
        <v>579</v>
      </c>
      <c r="C189" t="s">
        <v>211</v>
      </c>
      <c r="D189" t="s">
        <v>329</v>
      </c>
      <c r="E189" s="2">
        <f t="shared" si="2"/>
        <v>2</v>
      </c>
      <c r="F189" t="s">
        <v>330</v>
      </c>
      <c r="G189" t="s">
        <v>327</v>
      </c>
    </row>
    <row r="190" spans="1:8">
      <c r="A190" t="s">
        <v>212</v>
      </c>
      <c r="B190" t="s">
        <v>580</v>
      </c>
      <c r="C190" t="s">
        <v>213</v>
      </c>
      <c r="D190" t="s">
        <v>326</v>
      </c>
      <c r="E190" s="2">
        <f t="shared" si="2"/>
        <v>3</v>
      </c>
      <c r="F190" t="s">
        <v>581</v>
      </c>
      <c r="G190" t="s">
        <v>582</v>
      </c>
      <c r="H190" t="s">
        <v>583</v>
      </c>
    </row>
    <row r="191" hidden="1" spans="1:9">
      <c r="A191" t="s">
        <v>212</v>
      </c>
      <c r="B191" t="s">
        <v>584</v>
      </c>
      <c r="C191" t="s">
        <v>213</v>
      </c>
      <c r="D191" t="s">
        <v>329</v>
      </c>
      <c r="E191" s="2">
        <f t="shared" si="2"/>
        <v>4</v>
      </c>
      <c r="F191" t="s">
        <v>330</v>
      </c>
      <c r="G191" t="s">
        <v>581</v>
      </c>
      <c r="H191" t="s">
        <v>582</v>
      </c>
      <c r="I191" t="s">
        <v>583</v>
      </c>
    </row>
    <row r="192" spans="1:6">
      <c r="A192" t="s">
        <v>214</v>
      </c>
      <c r="B192" t="s">
        <v>585</v>
      </c>
      <c r="C192" t="s">
        <v>215</v>
      </c>
      <c r="D192" t="s">
        <v>326</v>
      </c>
      <c r="E192" s="2">
        <f t="shared" si="2"/>
        <v>1</v>
      </c>
      <c r="F192" t="s">
        <v>327</v>
      </c>
    </row>
    <row r="193" hidden="1" spans="1:7">
      <c r="A193" t="s">
        <v>214</v>
      </c>
      <c r="B193" t="s">
        <v>586</v>
      </c>
      <c r="C193" t="s">
        <v>215</v>
      </c>
      <c r="D193" t="s">
        <v>329</v>
      </c>
      <c r="E193" s="2">
        <f t="shared" si="2"/>
        <v>2</v>
      </c>
      <c r="F193" t="s">
        <v>330</v>
      </c>
      <c r="G193" t="s">
        <v>327</v>
      </c>
    </row>
  </sheetData>
  <autoFilter ref="A1:P193">
    <filterColumn colId="3">
      <customFilters>
        <customFilter operator="equal" val="BarsInProgress"/>
      </customFilters>
    </filterColumn>
  </autoFilter>
  <pageMargins left="0.699305555555556" right="0.699305555555556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D193"/>
  <sheetViews>
    <sheetView tabSelected="1" zoomScale="85" zoomScaleNormal="85" workbookViewId="0">
      <pane xSplit="3" ySplit="1" topLeftCell="G2" activePane="bottomRight" state="frozen"/>
      <selection/>
      <selection pane="topRight"/>
      <selection pane="bottomLeft"/>
      <selection pane="bottomRight" activeCell="I2" sqref="I2"/>
    </sheetView>
  </sheetViews>
  <sheetFormatPr defaultColWidth="9" defaultRowHeight="14.25"/>
  <cols>
    <col min="1" max="2" width="16.5583333333333" customWidth="1"/>
    <col min="3" max="4" width="20.4416666666667" customWidth="1"/>
    <col min="5" max="5" width="14.775" customWidth="1"/>
    <col min="6" max="9" width="19.3333333333333" customWidth="1"/>
    <col min="10" max="15" width="19.3333333333333" customWidth="1" outlineLevel="1"/>
    <col min="16" max="21" width="11" customWidth="1"/>
  </cols>
  <sheetData>
    <row r="1" ht="42.75" spans="1:30">
      <c r="A1" t="s">
        <v>0</v>
      </c>
      <c r="B1" t="s">
        <v>312</v>
      </c>
      <c r="C1" t="s">
        <v>1</v>
      </c>
      <c r="D1" t="s">
        <v>313</v>
      </c>
      <c r="E1" t="s">
        <v>314</v>
      </c>
      <c r="F1" t="s">
        <v>315</v>
      </c>
      <c r="G1" t="s">
        <v>316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324</v>
      </c>
      <c r="P1" t="s">
        <v>587</v>
      </c>
      <c r="Q1" t="s">
        <v>588</v>
      </c>
      <c r="R1" t="s">
        <v>589</v>
      </c>
      <c r="S1" t="s">
        <v>590</v>
      </c>
      <c r="T1" t="s">
        <v>591</v>
      </c>
      <c r="U1" t="s">
        <v>592</v>
      </c>
      <c r="V1" t="s">
        <v>593</v>
      </c>
      <c r="W1" t="s">
        <v>594</v>
      </c>
      <c r="X1" t="s">
        <v>595</v>
      </c>
      <c r="AA1" t="s">
        <v>596</v>
      </c>
      <c r="AB1" t="s">
        <v>597</v>
      </c>
      <c r="AC1" s="3" t="s">
        <v>598</v>
      </c>
      <c r="AD1" t="s">
        <v>599</v>
      </c>
    </row>
    <row r="2" spans="1:30">
      <c r="A2" t="s">
        <v>15</v>
      </c>
      <c r="B2" t="s">
        <v>325</v>
      </c>
      <c r="C2" t="s">
        <v>16</v>
      </c>
      <c r="D2" t="s">
        <v>326</v>
      </c>
      <c r="E2" s="2">
        <f>COUNTA(F2:O2)</f>
        <v>1</v>
      </c>
      <c r="F2" t="s">
        <v>600</v>
      </c>
      <c r="V2" t="str">
        <f t="shared" ref="V2:V5" si="0">IF(P2&lt;&gt;0,$V$1&amp;P2&amp;$W$1&amp;P2&amp;$X$1,"")</f>
        <v/>
      </c>
      <c r="W2" t="str">
        <f t="shared" ref="W2:W5" si="1">IF(Q2&lt;&gt;0,$V$1&amp;Q2&amp;$W$1&amp;Q2&amp;$X$1,"")</f>
        <v/>
      </c>
      <c r="X2" t="str">
        <f t="shared" ref="X2:X5" si="2">IF(R2&lt;&gt;0,$V$1&amp;R2&amp;$W$1&amp;R2&amp;$X$1,"")</f>
        <v/>
      </c>
      <c r="Y2" t="str">
        <f t="shared" ref="Y2:Y5" si="3">IF(S2&lt;&gt;0,$V$1&amp;S2&amp;$W$1&amp;S2&amp;$X$1,"")</f>
        <v/>
      </c>
      <c r="Z2" t="str">
        <f t="shared" ref="Z2:Z5" si="4">IF(T2&lt;&gt;0,$V$1&amp;T2&amp;$W$1&amp;T2&amp;$X$1,"")</f>
        <v/>
      </c>
      <c r="AA2" t="str">
        <f t="shared" ref="AA2:AA6" si="5">V2&amp;W2&amp;X2&amp;Y2&amp;Z2</f>
        <v/>
      </c>
      <c r="AB2" t="s">
        <v>601</v>
      </c>
      <c r="AC2" t="str">
        <f>C2</f>
        <v>SMA</v>
      </c>
      <c r="AD2" t="str">
        <f>IF(F2&lt;&gt;"","'"&amp;F2&amp;"'"&amp;",","")</f>
        <v>'period',</v>
      </c>
    </row>
    <row r="3" spans="1:28">
      <c r="A3" t="s">
        <v>15</v>
      </c>
      <c r="B3" t="s">
        <v>328</v>
      </c>
      <c r="C3" t="s">
        <v>16</v>
      </c>
      <c r="D3" t="s">
        <v>329</v>
      </c>
      <c r="E3" s="2">
        <f t="shared" ref="E3:E66" si="6">COUNTA(F3:O3)</f>
        <v>2</v>
      </c>
      <c r="F3" t="s">
        <v>602</v>
      </c>
      <c r="G3" t="s">
        <v>600</v>
      </c>
      <c r="V3" t="str">
        <f t="shared" si="0"/>
        <v/>
      </c>
      <c r="W3" t="str">
        <f t="shared" si="1"/>
        <v/>
      </c>
      <c r="X3" t="str">
        <f t="shared" si="2"/>
        <v/>
      </c>
      <c r="Y3" t="str">
        <f t="shared" si="3"/>
        <v/>
      </c>
      <c r="Z3" t="str">
        <f t="shared" si="4"/>
        <v/>
      </c>
      <c r="AA3" t="str">
        <f t="shared" si="5"/>
        <v/>
      </c>
      <c r="AB3" t="s">
        <v>601</v>
      </c>
    </row>
    <row r="4" spans="1:28">
      <c r="A4" t="s">
        <v>19</v>
      </c>
      <c r="B4" t="s">
        <v>331</v>
      </c>
      <c r="C4" t="s">
        <v>20</v>
      </c>
      <c r="D4" t="s">
        <v>326</v>
      </c>
      <c r="E4" s="2">
        <f t="shared" si="6"/>
        <v>1</v>
      </c>
      <c r="F4" t="s">
        <v>600</v>
      </c>
      <c r="V4" t="str">
        <f t="shared" si="0"/>
        <v/>
      </c>
      <c r="W4" t="str">
        <f t="shared" si="1"/>
        <v/>
      </c>
      <c r="X4" t="str">
        <f t="shared" si="2"/>
        <v/>
      </c>
      <c r="Y4" t="str">
        <f t="shared" si="3"/>
        <v/>
      </c>
      <c r="Z4" t="str">
        <f t="shared" si="4"/>
        <v/>
      </c>
      <c r="AA4" t="str">
        <f t="shared" si="5"/>
        <v/>
      </c>
      <c r="AB4" t="s">
        <v>601</v>
      </c>
    </row>
    <row r="5" spans="1:28">
      <c r="A5" t="s">
        <v>19</v>
      </c>
      <c r="B5" t="s">
        <v>332</v>
      </c>
      <c r="C5" t="s">
        <v>20</v>
      </c>
      <c r="D5" t="s">
        <v>329</v>
      </c>
      <c r="E5" s="2">
        <f t="shared" si="6"/>
        <v>2</v>
      </c>
      <c r="F5" t="s">
        <v>602</v>
      </c>
      <c r="G5" t="s">
        <v>600</v>
      </c>
      <c r="V5" t="str">
        <f t="shared" si="0"/>
        <v/>
      </c>
      <c r="W5" t="str">
        <f t="shared" si="1"/>
        <v/>
      </c>
      <c r="X5" t="str">
        <f t="shared" si="2"/>
        <v/>
      </c>
      <c r="Y5" t="str">
        <f t="shared" si="3"/>
        <v/>
      </c>
      <c r="Z5" t="str">
        <f t="shared" si="4"/>
        <v/>
      </c>
      <c r="AA5" t="str">
        <f t="shared" si="5"/>
        <v/>
      </c>
      <c r="AB5" t="s">
        <v>601</v>
      </c>
    </row>
    <row r="6" spans="1:28">
      <c r="A6" t="s">
        <v>21</v>
      </c>
      <c r="B6" t="s">
        <v>333</v>
      </c>
      <c r="C6" t="s">
        <v>22</v>
      </c>
      <c r="D6" t="s">
        <v>326</v>
      </c>
      <c r="E6" s="2">
        <f t="shared" si="6"/>
        <v>1</v>
      </c>
      <c r="F6" t="s">
        <v>600</v>
      </c>
      <c r="P6" t="s">
        <v>603</v>
      </c>
      <c r="Q6" t="s">
        <v>604</v>
      </c>
      <c r="V6" t="str">
        <f>IF(P6&lt;&gt;0,$V$1&amp;P6&amp;$W$1&amp;P6&amp;$X$1,"")</f>
        <v>if (p_PropertyName == "Upper") { return (myIndicatorType.Upper[p_BarsAgo]); }</v>
      </c>
      <c r="W6" t="str">
        <f>IF(Q6&lt;&gt;0,$V$1&amp;Q6&amp;$W$1&amp;Q6&amp;$X$1,"")</f>
        <v>if (p_PropertyName == "Lower") { return (myIndicatorType.Lower[p_BarsAgo]); }</v>
      </c>
      <c r="X6" t="str">
        <f t="shared" ref="X6:AA6" si="7">IF(R6&lt;&gt;0,$V$1&amp;R6&amp;$W$1&amp;R6&amp;$X$1,"")</f>
        <v/>
      </c>
      <c r="Y6" t="str">
        <f t="shared" si="7"/>
        <v/>
      </c>
      <c r="Z6" t="str">
        <f t="shared" si="7"/>
        <v/>
      </c>
      <c r="AA6" t="str">
        <f t="shared" si="5"/>
        <v>if (p_PropertyName == "Upper") { return (myIndicatorType.Upper[p_BarsAgo]); }if (p_PropertyName == "Lower") { return (myIndicatorType.Lower[p_BarsAgo]); }</v>
      </c>
      <c r="AB6" t="s">
        <v>605</v>
      </c>
    </row>
    <row r="7" spans="1:28">
      <c r="A7" t="s">
        <v>21</v>
      </c>
      <c r="B7" t="s">
        <v>334</v>
      </c>
      <c r="C7" t="s">
        <v>22</v>
      </c>
      <c r="D7" t="s">
        <v>329</v>
      </c>
      <c r="E7" s="2">
        <f t="shared" si="6"/>
        <v>2</v>
      </c>
      <c r="F7" t="s">
        <v>602</v>
      </c>
      <c r="G7" t="s">
        <v>600</v>
      </c>
      <c r="P7" t="s">
        <v>603</v>
      </c>
      <c r="Q7" t="s">
        <v>604</v>
      </c>
      <c r="V7" t="str">
        <f t="shared" ref="V7:V70" si="8">IF(P7&lt;&gt;0,$V$1&amp;P7&amp;$W$1&amp;P7&amp;$X$1,"")</f>
        <v>if (p_PropertyName == "Upper") { return (myIndicatorType.Upper[p_BarsAgo]); }</v>
      </c>
      <c r="W7" t="str">
        <f t="shared" ref="W7:W70" si="9">IF(Q7&lt;&gt;0,$V$1&amp;Q7&amp;$W$1&amp;Q7&amp;$X$1,"")</f>
        <v>if (p_PropertyName == "Lower") { return (myIndicatorType.Lower[p_BarsAgo]); }</v>
      </c>
      <c r="X7" t="str">
        <f t="shared" ref="X7:X70" si="10">IF(R7&lt;&gt;0,$V$1&amp;R7&amp;$W$1&amp;R7&amp;$X$1,"")</f>
        <v/>
      </c>
      <c r="Y7" t="str">
        <f t="shared" ref="Y7:Y70" si="11">IF(S7&lt;&gt;0,$V$1&amp;S7&amp;$W$1&amp;S7&amp;$X$1,"")</f>
        <v/>
      </c>
      <c r="Z7" t="str">
        <f t="shared" ref="Z7:Z70" si="12">IF(T7&lt;&gt;0,$V$1&amp;T7&amp;$W$1&amp;T7&amp;$X$1,"")</f>
        <v/>
      </c>
      <c r="AA7" t="str">
        <f t="shared" ref="AA7:AA70" si="13">V7&amp;W7&amp;X7&amp;Y7&amp;Z7</f>
        <v>if (p_PropertyName == "Upper") { return (myIndicatorType.Upper[p_BarsAgo]); }if (p_PropertyName == "Lower") { return (myIndicatorType.Lower[p_BarsAgo]); }</v>
      </c>
      <c r="AB7" t="s">
        <v>605</v>
      </c>
    </row>
    <row r="8" spans="1:28">
      <c r="A8" t="s">
        <v>23</v>
      </c>
      <c r="B8" t="s">
        <v>335</v>
      </c>
      <c r="C8" t="s">
        <v>24</v>
      </c>
      <c r="D8" t="s">
        <v>326</v>
      </c>
      <c r="E8" s="2">
        <f t="shared" si="6"/>
        <v>3</v>
      </c>
      <c r="F8" t="s">
        <v>606</v>
      </c>
      <c r="G8" t="s">
        <v>607</v>
      </c>
      <c r="H8" t="s">
        <v>608</v>
      </c>
      <c r="P8" t="s">
        <v>609</v>
      </c>
      <c r="Q8" t="s">
        <v>610</v>
      </c>
      <c r="V8" t="str">
        <f t="shared" si="8"/>
        <v>if (p_PropertyName == "D") { return (myIndicatorType.D[p_BarsAgo]); }</v>
      </c>
      <c r="W8" t="str">
        <f t="shared" si="9"/>
        <v>if (p_PropertyName == "K") { return (myIndicatorType.K[p_BarsAgo]); }</v>
      </c>
      <c r="X8" t="str">
        <f t="shared" si="10"/>
        <v/>
      </c>
      <c r="Y8" t="str">
        <f t="shared" si="11"/>
        <v/>
      </c>
      <c r="Z8" t="str">
        <f t="shared" si="12"/>
        <v/>
      </c>
      <c r="AA8" t="str">
        <f t="shared" si="13"/>
        <v>if (p_PropertyName == "D") { return (myIndicatorType.D[p_BarsAgo]); }if (p_PropertyName == "K") { return (myIndicatorType.K[p_BarsAgo]); }</v>
      </c>
      <c r="AB8" t="s">
        <v>611</v>
      </c>
    </row>
    <row r="9" spans="1:28">
      <c r="A9" t="s">
        <v>23</v>
      </c>
      <c r="B9" t="s">
        <v>339</v>
      </c>
      <c r="C9" t="s">
        <v>24</v>
      </c>
      <c r="D9" t="s">
        <v>329</v>
      </c>
      <c r="E9" s="2">
        <f t="shared" si="6"/>
        <v>4</v>
      </c>
      <c r="F9" t="s">
        <v>602</v>
      </c>
      <c r="G9" t="s">
        <v>606</v>
      </c>
      <c r="H9" t="s">
        <v>607</v>
      </c>
      <c r="I9" t="s">
        <v>608</v>
      </c>
      <c r="P9" t="s">
        <v>609</v>
      </c>
      <c r="Q9" t="s">
        <v>610</v>
      </c>
      <c r="V9" t="str">
        <f t="shared" si="8"/>
        <v>if (p_PropertyName == "D") { return (myIndicatorType.D[p_BarsAgo]); }</v>
      </c>
      <c r="W9" t="str">
        <f t="shared" si="9"/>
        <v>if (p_PropertyName == "K") { return (myIndicatorType.K[p_BarsAgo]); }</v>
      </c>
      <c r="X9" t="str">
        <f t="shared" si="10"/>
        <v/>
      </c>
      <c r="Y9" t="str">
        <f t="shared" si="11"/>
        <v/>
      </c>
      <c r="Z9" t="str">
        <f t="shared" si="12"/>
        <v/>
      </c>
      <c r="AA9" t="str">
        <f t="shared" si="13"/>
        <v>if (p_PropertyName == "D") { return (myIndicatorType.D[p_BarsAgo]); }if (p_PropertyName == "K") { return (myIndicatorType.K[p_BarsAgo]); }</v>
      </c>
      <c r="AB9" t="s">
        <v>611</v>
      </c>
    </row>
    <row r="10" spans="1:28">
      <c r="A10" t="s">
        <v>25</v>
      </c>
      <c r="B10" t="s">
        <v>340</v>
      </c>
      <c r="C10" t="s">
        <v>26</v>
      </c>
      <c r="D10" t="s">
        <v>326</v>
      </c>
      <c r="E10" s="2">
        <f t="shared" si="6"/>
        <v>2</v>
      </c>
      <c r="F10" t="s">
        <v>606</v>
      </c>
      <c r="G10" t="s">
        <v>607</v>
      </c>
      <c r="P10" t="s">
        <v>609</v>
      </c>
      <c r="Q10" t="s">
        <v>610</v>
      </c>
      <c r="V10" t="str">
        <f t="shared" si="8"/>
        <v>if (p_PropertyName == "D") { return (myIndicatorType.D[p_BarsAgo]); }</v>
      </c>
      <c r="W10" t="str">
        <f t="shared" si="9"/>
        <v>if (p_PropertyName == "K") { return (myIndicatorType.K[p_BarsAgo]); }</v>
      </c>
      <c r="X10" t="str">
        <f t="shared" si="10"/>
        <v/>
      </c>
      <c r="Y10" t="str">
        <f t="shared" si="11"/>
        <v/>
      </c>
      <c r="Z10" t="str">
        <f t="shared" si="12"/>
        <v/>
      </c>
      <c r="AA10" t="str">
        <f t="shared" si="13"/>
        <v>if (p_PropertyName == "D") { return (myIndicatorType.D[p_BarsAgo]); }if (p_PropertyName == "K") { return (myIndicatorType.K[p_BarsAgo]); }</v>
      </c>
      <c r="AB10" t="s">
        <v>611</v>
      </c>
    </row>
    <row r="11" spans="1:28">
      <c r="A11" t="s">
        <v>25</v>
      </c>
      <c r="B11" t="s">
        <v>341</v>
      </c>
      <c r="C11" t="s">
        <v>26</v>
      </c>
      <c r="D11" t="s">
        <v>329</v>
      </c>
      <c r="E11" s="2">
        <f t="shared" si="6"/>
        <v>3</v>
      </c>
      <c r="F11" t="s">
        <v>602</v>
      </c>
      <c r="G11" t="s">
        <v>606</v>
      </c>
      <c r="H11" t="s">
        <v>607</v>
      </c>
      <c r="P11" t="s">
        <v>609</v>
      </c>
      <c r="Q11" t="s">
        <v>610</v>
      </c>
      <c r="V11" t="str">
        <f t="shared" si="8"/>
        <v>if (p_PropertyName == "D") { return (myIndicatorType.D[p_BarsAgo]); }</v>
      </c>
      <c r="W11" t="str">
        <f t="shared" si="9"/>
        <v>if (p_PropertyName == "K") { return (myIndicatorType.K[p_BarsAgo]); }</v>
      </c>
      <c r="X11" t="str">
        <f t="shared" si="10"/>
        <v/>
      </c>
      <c r="Y11" t="str">
        <f t="shared" si="11"/>
        <v/>
      </c>
      <c r="Z11" t="str">
        <f t="shared" si="12"/>
        <v/>
      </c>
      <c r="AA11" t="str">
        <f t="shared" si="13"/>
        <v>if (p_PropertyName == "D") { return (myIndicatorType.D[p_BarsAgo]); }if (p_PropertyName == "K") { return (myIndicatorType.K[p_BarsAgo]); }</v>
      </c>
      <c r="AB11" t="s">
        <v>611</v>
      </c>
    </row>
    <row r="12" spans="1:28">
      <c r="A12" t="s">
        <v>27</v>
      </c>
      <c r="B12" t="s">
        <v>342</v>
      </c>
      <c r="C12" t="s">
        <v>28</v>
      </c>
      <c r="D12" t="s">
        <v>326</v>
      </c>
      <c r="E12" s="2">
        <f t="shared" si="6"/>
        <v>1</v>
      </c>
      <c r="F12" t="s">
        <v>600</v>
      </c>
      <c r="V12" t="str">
        <f t="shared" si="8"/>
        <v/>
      </c>
      <c r="W12" t="str">
        <f t="shared" si="9"/>
        <v/>
      </c>
      <c r="X12" t="str">
        <f t="shared" si="10"/>
        <v/>
      </c>
      <c r="Y12" t="str">
        <f t="shared" si="11"/>
        <v/>
      </c>
      <c r="Z12" t="str">
        <f t="shared" si="12"/>
        <v/>
      </c>
      <c r="AA12" t="str">
        <f t="shared" si="13"/>
        <v/>
      </c>
      <c r="AB12" t="s">
        <v>601</v>
      </c>
    </row>
    <row r="13" spans="1:28">
      <c r="A13" t="s">
        <v>27</v>
      </c>
      <c r="B13" t="s">
        <v>343</v>
      </c>
      <c r="C13" t="s">
        <v>28</v>
      </c>
      <c r="D13" t="s">
        <v>329</v>
      </c>
      <c r="E13" s="2">
        <f t="shared" si="6"/>
        <v>2</v>
      </c>
      <c r="F13" t="s">
        <v>602</v>
      </c>
      <c r="G13" t="s">
        <v>600</v>
      </c>
      <c r="V13" t="str">
        <f t="shared" si="8"/>
        <v/>
      </c>
      <c r="W13" t="str">
        <f t="shared" si="9"/>
        <v/>
      </c>
      <c r="X13" t="str">
        <f t="shared" si="10"/>
        <v/>
      </c>
      <c r="Y13" t="str">
        <f t="shared" si="11"/>
        <v/>
      </c>
      <c r="Z13" t="str">
        <f t="shared" si="12"/>
        <v/>
      </c>
      <c r="AA13" t="str">
        <f t="shared" si="13"/>
        <v/>
      </c>
      <c r="AB13" t="s">
        <v>601</v>
      </c>
    </row>
    <row r="14" spans="1:28">
      <c r="A14" t="s">
        <v>29</v>
      </c>
      <c r="B14" t="s">
        <v>344</v>
      </c>
      <c r="C14" t="s">
        <v>30</v>
      </c>
      <c r="D14" t="s">
        <v>326</v>
      </c>
      <c r="E14" s="2">
        <f t="shared" si="6"/>
        <v>1</v>
      </c>
      <c r="F14" t="s">
        <v>600</v>
      </c>
      <c r="V14" t="str">
        <f t="shared" si="8"/>
        <v/>
      </c>
      <c r="W14" t="str">
        <f t="shared" si="9"/>
        <v/>
      </c>
      <c r="X14" t="str">
        <f t="shared" si="10"/>
        <v/>
      </c>
      <c r="Y14" t="str">
        <f t="shared" si="11"/>
        <v/>
      </c>
      <c r="Z14" t="str">
        <f t="shared" si="12"/>
        <v/>
      </c>
      <c r="AA14" t="str">
        <f t="shared" si="13"/>
        <v/>
      </c>
      <c r="AB14" t="s">
        <v>601</v>
      </c>
    </row>
    <row r="15" spans="1:28">
      <c r="A15" t="s">
        <v>29</v>
      </c>
      <c r="B15" t="s">
        <v>345</v>
      </c>
      <c r="C15" t="s">
        <v>30</v>
      </c>
      <c r="D15" t="s">
        <v>329</v>
      </c>
      <c r="E15" s="2">
        <f t="shared" si="6"/>
        <v>2</v>
      </c>
      <c r="F15" t="s">
        <v>602</v>
      </c>
      <c r="G15" t="s">
        <v>600</v>
      </c>
      <c r="V15" t="str">
        <f t="shared" si="8"/>
        <v/>
      </c>
      <c r="W15" t="str">
        <f t="shared" si="9"/>
        <v/>
      </c>
      <c r="X15" t="str">
        <f t="shared" si="10"/>
        <v/>
      </c>
      <c r="Y15" t="str">
        <f t="shared" si="11"/>
        <v/>
      </c>
      <c r="Z15" t="str">
        <f t="shared" si="12"/>
        <v/>
      </c>
      <c r="AA15" t="str">
        <f t="shared" si="13"/>
        <v/>
      </c>
      <c r="AB15" t="s">
        <v>601</v>
      </c>
    </row>
    <row r="16" spans="1:28">
      <c r="A16" t="s">
        <v>31</v>
      </c>
      <c r="B16" t="s">
        <v>346</v>
      </c>
      <c r="C16" t="s">
        <v>32</v>
      </c>
      <c r="D16" t="s">
        <v>326</v>
      </c>
      <c r="E16" s="2">
        <f t="shared" si="6"/>
        <v>1</v>
      </c>
      <c r="F16" t="s">
        <v>612</v>
      </c>
      <c r="P16" t="s">
        <v>613</v>
      </c>
      <c r="Q16" t="s">
        <v>614</v>
      </c>
      <c r="V16" t="str">
        <f t="shared" si="8"/>
        <v>if (p_PropertyName == "SwingHigh") { return (myIndicatorType.SwingHigh[p_BarsAgo]); }</v>
      </c>
      <c r="W16" t="str">
        <f t="shared" si="9"/>
        <v>if (p_PropertyName == "SwingLow") { return (myIndicatorType.SwingLow[p_BarsAgo]); }</v>
      </c>
      <c r="X16" t="str">
        <f t="shared" si="10"/>
        <v/>
      </c>
      <c r="Y16" t="str">
        <f t="shared" si="11"/>
        <v/>
      </c>
      <c r="Z16" t="str">
        <f t="shared" si="12"/>
        <v/>
      </c>
      <c r="AA16" t="str">
        <f t="shared" si="13"/>
        <v>if (p_PropertyName == "SwingHigh") { return (myIndicatorType.SwingHigh[p_BarsAgo]); }if (p_PropertyName == "SwingLow") { return (myIndicatorType.SwingLow[p_BarsAgo]); }</v>
      </c>
      <c r="AB16" t="s">
        <v>615</v>
      </c>
    </row>
    <row r="17" spans="1:28">
      <c r="A17" t="s">
        <v>31</v>
      </c>
      <c r="B17" t="s">
        <v>348</v>
      </c>
      <c r="C17" t="s">
        <v>32</v>
      </c>
      <c r="D17" t="s">
        <v>329</v>
      </c>
      <c r="E17" s="2">
        <f t="shared" si="6"/>
        <v>2</v>
      </c>
      <c r="F17" t="s">
        <v>602</v>
      </c>
      <c r="G17" t="s">
        <v>612</v>
      </c>
      <c r="P17" t="s">
        <v>616</v>
      </c>
      <c r="Q17" t="s">
        <v>617</v>
      </c>
      <c r="V17" t="str">
        <f t="shared" si="8"/>
        <v>if (p_PropertyName == "SwingHighBar") { return (myIndicatorType.SwingHighBar[p_BarsAgo]); }</v>
      </c>
      <c r="W17" t="str">
        <f t="shared" si="9"/>
        <v>if (p_PropertyName == "SwingLowBar") { return (myIndicatorType.SwingLowBar[p_BarsAgo]); }</v>
      </c>
      <c r="X17" t="str">
        <f t="shared" si="10"/>
        <v/>
      </c>
      <c r="Y17" t="str">
        <f t="shared" si="11"/>
        <v/>
      </c>
      <c r="Z17" t="str">
        <f t="shared" si="12"/>
        <v/>
      </c>
      <c r="AA17" t="str">
        <f t="shared" si="13"/>
        <v>if (p_PropertyName == "SwingHighBar") { return (myIndicatorType.SwingHighBar[p_BarsAgo]); }if (p_PropertyName == "SwingLowBar") { return (myIndicatorType.SwingLowBar[p_BarsAgo]); }</v>
      </c>
      <c r="AB17" t="s">
        <v>615</v>
      </c>
    </row>
    <row r="18" spans="1:28">
      <c r="A18" t="s">
        <v>33</v>
      </c>
      <c r="B18" t="s">
        <v>349</v>
      </c>
      <c r="C18" t="s">
        <v>34</v>
      </c>
      <c r="D18" t="s">
        <v>326</v>
      </c>
      <c r="E18" s="2">
        <f t="shared" si="6"/>
        <v>3</v>
      </c>
      <c r="F18" t="s">
        <v>600</v>
      </c>
      <c r="G18" t="s">
        <v>618</v>
      </c>
      <c r="H18" t="s">
        <v>619</v>
      </c>
      <c r="V18" t="str">
        <f t="shared" si="8"/>
        <v/>
      </c>
      <c r="W18" t="str">
        <f t="shared" si="9"/>
        <v/>
      </c>
      <c r="X18" t="str">
        <f t="shared" si="10"/>
        <v/>
      </c>
      <c r="Y18" t="str">
        <f t="shared" si="11"/>
        <v/>
      </c>
      <c r="Z18" t="str">
        <f t="shared" si="12"/>
        <v/>
      </c>
      <c r="AA18" t="str">
        <f t="shared" si="13"/>
        <v/>
      </c>
      <c r="AB18" t="s">
        <v>601</v>
      </c>
    </row>
    <row r="19" spans="1:28">
      <c r="A19" t="s">
        <v>33</v>
      </c>
      <c r="B19" t="s">
        <v>352</v>
      </c>
      <c r="C19" t="s">
        <v>34</v>
      </c>
      <c r="D19" t="s">
        <v>329</v>
      </c>
      <c r="E19" s="2">
        <f t="shared" si="6"/>
        <v>4</v>
      </c>
      <c r="F19" t="s">
        <v>602</v>
      </c>
      <c r="G19" t="s">
        <v>600</v>
      </c>
      <c r="H19" t="s">
        <v>618</v>
      </c>
      <c r="I19" t="s">
        <v>619</v>
      </c>
      <c r="V19" t="str">
        <f t="shared" si="8"/>
        <v/>
      </c>
      <c r="W19" t="str">
        <f t="shared" si="9"/>
        <v/>
      </c>
      <c r="X19" t="str">
        <f t="shared" si="10"/>
        <v/>
      </c>
      <c r="Y19" t="str">
        <f t="shared" si="11"/>
        <v/>
      </c>
      <c r="Z19" t="str">
        <f t="shared" si="12"/>
        <v/>
      </c>
      <c r="AA19" t="str">
        <f t="shared" si="13"/>
        <v/>
      </c>
      <c r="AB19" t="s">
        <v>601</v>
      </c>
    </row>
    <row r="20" spans="1:28">
      <c r="A20" t="s">
        <v>36</v>
      </c>
      <c r="B20" t="s">
        <v>353</v>
      </c>
      <c r="C20" t="s">
        <v>37</v>
      </c>
      <c r="D20" t="s">
        <v>326</v>
      </c>
      <c r="E20" s="2">
        <f t="shared" si="6"/>
        <v>1</v>
      </c>
      <c r="F20" t="s">
        <v>600</v>
      </c>
      <c r="V20" t="str">
        <f t="shared" si="8"/>
        <v/>
      </c>
      <c r="W20" t="str">
        <f t="shared" si="9"/>
        <v/>
      </c>
      <c r="X20" t="str">
        <f t="shared" si="10"/>
        <v/>
      </c>
      <c r="Y20" t="str">
        <f t="shared" si="11"/>
        <v/>
      </c>
      <c r="Z20" t="str">
        <f t="shared" si="12"/>
        <v/>
      </c>
      <c r="AA20" t="str">
        <f t="shared" si="13"/>
        <v/>
      </c>
      <c r="AB20" t="s">
        <v>601</v>
      </c>
    </row>
    <row r="21" spans="1:28">
      <c r="A21" t="s">
        <v>36</v>
      </c>
      <c r="B21" t="s">
        <v>354</v>
      </c>
      <c r="C21" t="s">
        <v>37</v>
      </c>
      <c r="D21" t="s">
        <v>329</v>
      </c>
      <c r="E21" s="2">
        <f t="shared" si="6"/>
        <v>2</v>
      </c>
      <c r="F21" t="s">
        <v>602</v>
      </c>
      <c r="G21" t="s">
        <v>600</v>
      </c>
      <c r="V21" t="str">
        <f t="shared" si="8"/>
        <v/>
      </c>
      <c r="W21" t="str">
        <f t="shared" si="9"/>
        <v/>
      </c>
      <c r="X21" t="str">
        <f t="shared" si="10"/>
        <v/>
      </c>
      <c r="Y21" t="str">
        <f t="shared" si="11"/>
        <v/>
      </c>
      <c r="Z21" t="str">
        <f t="shared" si="12"/>
        <v/>
      </c>
      <c r="AA21" t="str">
        <f t="shared" si="13"/>
        <v/>
      </c>
      <c r="AB21" t="s">
        <v>601</v>
      </c>
    </row>
    <row r="22" spans="1:28">
      <c r="A22" t="s">
        <v>38</v>
      </c>
      <c r="B22" t="s">
        <v>355</v>
      </c>
      <c r="C22" t="s">
        <v>39</v>
      </c>
      <c r="D22" t="s">
        <v>326</v>
      </c>
      <c r="E22" s="2">
        <f t="shared" si="6"/>
        <v>2</v>
      </c>
      <c r="F22" t="s">
        <v>620</v>
      </c>
      <c r="G22" t="s">
        <v>621</v>
      </c>
      <c r="V22" t="str">
        <f t="shared" si="8"/>
        <v/>
      </c>
      <c r="W22" t="str">
        <f t="shared" si="9"/>
        <v/>
      </c>
      <c r="X22" t="str">
        <f t="shared" si="10"/>
        <v/>
      </c>
      <c r="Y22" t="str">
        <f t="shared" si="11"/>
        <v/>
      </c>
      <c r="Z22" t="str">
        <f t="shared" si="12"/>
        <v/>
      </c>
      <c r="AA22" t="str">
        <f t="shared" si="13"/>
        <v/>
      </c>
      <c r="AB22" t="s">
        <v>601</v>
      </c>
    </row>
    <row r="23" spans="1:28">
      <c r="A23" t="s">
        <v>38</v>
      </c>
      <c r="B23" t="s">
        <v>358</v>
      </c>
      <c r="C23" t="s">
        <v>39</v>
      </c>
      <c r="D23" t="s">
        <v>329</v>
      </c>
      <c r="E23" s="2">
        <f t="shared" si="6"/>
        <v>3</v>
      </c>
      <c r="F23" t="s">
        <v>602</v>
      </c>
      <c r="G23" t="s">
        <v>620</v>
      </c>
      <c r="H23" t="s">
        <v>621</v>
      </c>
      <c r="V23" t="str">
        <f t="shared" si="8"/>
        <v/>
      </c>
      <c r="W23" t="str">
        <f t="shared" si="9"/>
        <v/>
      </c>
      <c r="X23" t="str">
        <f t="shared" si="10"/>
        <v/>
      </c>
      <c r="Y23" t="str">
        <f t="shared" si="11"/>
        <v/>
      </c>
      <c r="Z23" t="str">
        <f t="shared" si="12"/>
        <v/>
      </c>
      <c r="AA23" t="str">
        <f t="shared" si="13"/>
        <v/>
      </c>
      <c r="AB23" t="s">
        <v>601</v>
      </c>
    </row>
    <row r="24" spans="1:28">
      <c r="A24" t="s">
        <v>41</v>
      </c>
      <c r="B24" t="s">
        <v>359</v>
      </c>
      <c r="C24" t="s">
        <v>42</v>
      </c>
      <c r="D24" t="s">
        <v>326</v>
      </c>
      <c r="E24" s="2">
        <f t="shared" si="6"/>
        <v>1</v>
      </c>
      <c r="F24" t="s">
        <v>600</v>
      </c>
      <c r="V24" t="str">
        <f t="shared" si="8"/>
        <v/>
      </c>
      <c r="W24" t="str">
        <f t="shared" si="9"/>
        <v/>
      </c>
      <c r="X24" t="str">
        <f t="shared" si="10"/>
        <v/>
      </c>
      <c r="Y24" t="str">
        <f t="shared" si="11"/>
        <v/>
      </c>
      <c r="Z24" t="str">
        <f t="shared" si="12"/>
        <v/>
      </c>
      <c r="AA24" t="str">
        <f t="shared" si="13"/>
        <v/>
      </c>
      <c r="AB24" t="s">
        <v>601</v>
      </c>
    </row>
    <row r="25" spans="1:28">
      <c r="A25" t="s">
        <v>41</v>
      </c>
      <c r="B25" t="s">
        <v>360</v>
      </c>
      <c r="C25" t="s">
        <v>42</v>
      </c>
      <c r="D25" t="s">
        <v>329</v>
      </c>
      <c r="E25" s="2">
        <f t="shared" si="6"/>
        <v>2</v>
      </c>
      <c r="F25" t="s">
        <v>602</v>
      </c>
      <c r="G25" t="s">
        <v>600</v>
      </c>
      <c r="V25" t="str">
        <f t="shared" si="8"/>
        <v/>
      </c>
      <c r="W25" t="str">
        <f t="shared" si="9"/>
        <v/>
      </c>
      <c r="X25" t="str">
        <f t="shared" si="10"/>
        <v/>
      </c>
      <c r="Y25" t="str">
        <f t="shared" si="11"/>
        <v/>
      </c>
      <c r="Z25" t="str">
        <f t="shared" si="12"/>
        <v/>
      </c>
      <c r="AA25" t="str">
        <f t="shared" si="13"/>
        <v/>
      </c>
      <c r="AB25" t="s">
        <v>601</v>
      </c>
    </row>
    <row r="26" spans="1:28">
      <c r="A26" t="s">
        <v>43</v>
      </c>
      <c r="B26" t="s">
        <v>361</v>
      </c>
      <c r="C26" t="s">
        <v>44</v>
      </c>
      <c r="D26" t="s">
        <v>326</v>
      </c>
      <c r="E26" s="2">
        <f t="shared" si="6"/>
        <v>2</v>
      </c>
      <c r="F26" t="s">
        <v>600</v>
      </c>
      <c r="G26" t="s">
        <v>622</v>
      </c>
      <c r="P26" t="s">
        <v>623</v>
      </c>
      <c r="V26" t="str">
        <f t="shared" si="8"/>
        <v>if (p_PropertyName == "Signal") { return (myIndicatorType.Signal[p_BarsAgo]); }</v>
      </c>
      <c r="W26" t="str">
        <f t="shared" si="9"/>
        <v/>
      </c>
      <c r="X26" t="str">
        <f t="shared" si="10"/>
        <v/>
      </c>
      <c r="Y26" t="str">
        <f t="shared" si="11"/>
        <v/>
      </c>
      <c r="Z26" t="str">
        <f t="shared" si="12"/>
        <v/>
      </c>
      <c r="AA26" t="str">
        <f t="shared" si="13"/>
        <v>if (p_PropertyName == "Signal") { return (myIndicatorType.Signal[p_BarsAgo]); }</v>
      </c>
      <c r="AB26" t="s">
        <v>624</v>
      </c>
    </row>
    <row r="27" spans="1:28">
      <c r="A27" t="s">
        <v>43</v>
      </c>
      <c r="B27" t="s">
        <v>363</v>
      </c>
      <c r="C27" t="s">
        <v>44</v>
      </c>
      <c r="D27" t="s">
        <v>329</v>
      </c>
      <c r="E27" s="2">
        <f t="shared" si="6"/>
        <v>3</v>
      </c>
      <c r="F27" t="s">
        <v>602</v>
      </c>
      <c r="G27" t="s">
        <v>600</v>
      </c>
      <c r="H27" t="s">
        <v>622</v>
      </c>
      <c r="P27" t="s">
        <v>623</v>
      </c>
      <c r="V27" t="str">
        <f t="shared" si="8"/>
        <v>if (p_PropertyName == "Signal") { return (myIndicatorType.Signal[p_BarsAgo]); }</v>
      </c>
      <c r="W27" t="str">
        <f t="shared" si="9"/>
        <v/>
      </c>
      <c r="X27" t="str">
        <f t="shared" si="10"/>
        <v/>
      </c>
      <c r="Y27" t="str">
        <f t="shared" si="11"/>
        <v/>
      </c>
      <c r="Z27" t="str">
        <f t="shared" si="12"/>
        <v/>
      </c>
      <c r="AA27" t="str">
        <f t="shared" si="13"/>
        <v>if (p_PropertyName == "Signal") { return (myIndicatorType.Signal[p_BarsAgo]); }</v>
      </c>
      <c r="AB27" t="s">
        <v>624</v>
      </c>
    </row>
    <row r="28" spans="1:28">
      <c r="A28" t="s">
        <v>45</v>
      </c>
      <c r="B28" t="s">
        <v>364</v>
      </c>
      <c r="C28" t="s">
        <v>46</v>
      </c>
      <c r="D28" t="s">
        <v>326</v>
      </c>
      <c r="E28" s="2">
        <f t="shared" si="6"/>
        <v>2</v>
      </c>
      <c r="F28" t="s">
        <v>625</v>
      </c>
      <c r="G28" t="s">
        <v>600</v>
      </c>
      <c r="V28" t="str">
        <f t="shared" si="8"/>
        <v/>
      </c>
      <c r="W28" t="str">
        <f t="shared" si="9"/>
        <v/>
      </c>
      <c r="X28" t="str">
        <f t="shared" si="10"/>
        <v/>
      </c>
      <c r="Y28" t="str">
        <f t="shared" si="11"/>
        <v/>
      </c>
      <c r="Z28" t="str">
        <f t="shared" si="12"/>
        <v/>
      </c>
      <c r="AA28" t="str">
        <f t="shared" si="13"/>
        <v/>
      </c>
      <c r="AB28" t="s">
        <v>601</v>
      </c>
    </row>
    <row r="29" spans="1:28">
      <c r="A29" t="s">
        <v>45</v>
      </c>
      <c r="B29" t="s">
        <v>366</v>
      </c>
      <c r="C29" t="s">
        <v>46</v>
      </c>
      <c r="D29" t="s">
        <v>329</v>
      </c>
      <c r="E29" s="2">
        <f t="shared" si="6"/>
        <v>3</v>
      </c>
      <c r="F29" t="s">
        <v>602</v>
      </c>
      <c r="G29" t="s">
        <v>625</v>
      </c>
      <c r="H29" t="s">
        <v>600</v>
      </c>
      <c r="V29" t="str">
        <f t="shared" si="8"/>
        <v/>
      </c>
      <c r="W29" t="str">
        <f t="shared" si="9"/>
        <v/>
      </c>
      <c r="X29" t="str">
        <f t="shared" si="10"/>
        <v/>
      </c>
      <c r="Y29" t="str">
        <f t="shared" si="11"/>
        <v/>
      </c>
      <c r="Z29" t="str">
        <f t="shared" si="12"/>
        <v/>
      </c>
      <c r="AA29" t="str">
        <f t="shared" si="13"/>
        <v/>
      </c>
      <c r="AB29" t="s">
        <v>601</v>
      </c>
    </row>
    <row r="30" spans="1:28">
      <c r="A30" t="s">
        <v>47</v>
      </c>
      <c r="B30" t="s">
        <v>367</v>
      </c>
      <c r="C30" t="s">
        <v>48</v>
      </c>
      <c r="D30" t="s">
        <v>326</v>
      </c>
      <c r="E30" s="2">
        <f t="shared" si="6"/>
        <v>2</v>
      </c>
      <c r="F30" t="s">
        <v>626</v>
      </c>
      <c r="G30" t="s">
        <v>627</v>
      </c>
      <c r="V30" t="str">
        <f t="shared" si="8"/>
        <v/>
      </c>
      <c r="W30" t="str">
        <f t="shared" si="9"/>
        <v/>
      </c>
      <c r="X30" t="str">
        <f t="shared" si="10"/>
        <v/>
      </c>
      <c r="Y30" t="str">
        <f t="shared" si="11"/>
        <v/>
      </c>
      <c r="Z30" t="str">
        <f t="shared" si="12"/>
        <v/>
      </c>
      <c r="AA30" t="str">
        <f t="shared" si="13"/>
        <v/>
      </c>
      <c r="AB30" t="s">
        <v>601</v>
      </c>
    </row>
    <row r="31" spans="1:28">
      <c r="A31" t="s">
        <v>47</v>
      </c>
      <c r="B31" t="s">
        <v>370</v>
      </c>
      <c r="C31" t="s">
        <v>48</v>
      </c>
      <c r="D31" t="s">
        <v>329</v>
      </c>
      <c r="E31" s="2">
        <f t="shared" si="6"/>
        <v>3</v>
      </c>
      <c r="F31" t="s">
        <v>602</v>
      </c>
      <c r="G31" t="s">
        <v>626</v>
      </c>
      <c r="H31" t="s">
        <v>627</v>
      </c>
      <c r="V31" t="str">
        <f t="shared" si="8"/>
        <v/>
      </c>
      <c r="W31" t="str">
        <f t="shared" si="9"/>
        <v/>
      </c>
      <c r="X31" t="str">
        <f t="shared" si="10"/>
        <v/>
      </c>
      <c r="Y31" t="str">
        <f t="shared" si="11"/>
        <v/>
      </c>
      <c r="Z31" t="str">
        <f t="shared" si="12"/>
        <v/>
      </c>
      <c r="AA31" t="str">
        <f t="shared" si="13"/>
        <v/>
      </c>
      <c r="AB31" t="s">
        <v>601</v>
      </c>
    </row>
    <row r="32" spans="1:28">
      <c r="A32" t="s">
        <v>49</v>
      </c>
      <c r="B32" t="s">
        <v>371</v>
      </c>
      <c r="C32" t="s">
        <v>50</v>
      </c>
      <c r="D32" t="s">
        <v>326</v>
      </c>
      <c r="E32" s="2">
        <f t="shared" si="6"/>
        <v>3</v>
      </c>
      <c r="F32" t="s">
        <v>626</v>
      </c>
      <c r="G32" t="s">
        <v>628</v>
      </c>
      <c r="H32" t="s">
        <v>627</v>
      </c>
      <c r="V32" t="str">
        <f t="shared" si="8"/>
        <v/>
      </c>
      <c r="W32" t="str">
        <f t="shared" si="9"/>
        <v/>
      </c>
      <c r="X32" t="str">
        <f t="shared" si="10"/>
        <v/>
      </c>
      <c r="Y32" t="str">
        <f t="shared" si="11"/>
        <v/>
      </c>
      <c r="Z32" t="str">
        <f t="shared" si="12"/>
        <v/>
      </c>
      <c r="AA32" t="str">
        <f t="shared" si="13"/>
        <v/>
      </c>
      <c r="AB32" t="s">
        <v>601</v>
      </c>
    </row>
    <row r="33" spans="1:28">
      <c r="A33" t="s">
        <v>49</v>
      </c>
      <c r="B33" t="s">
        <v>373</v>
      </c>
      <c r="C33" t="s">
        <v>50</v>
      </c>
      <c r="D33" t="s">
        <v>329</v>
      </c>
      <c r="E33" s="2">
        <f t="shared" si="6"/>
        <v>4</v>
      </c>
      <c r="F33" t="s">
        <v>602</v>
      </c>
      <c r="G33" t="s">
        <v>626</v>
      </c>
      <c r="H33" t="s">
        <v>628</v>
      </c>
      <c r="I33" t="s">
        <v>627</v>
      </c>
      <c r="V33" t="str">
        <f t="shared" si="8"/>
        <v/>
      </c>
      <c r="W33" t="str">
        <f t="shared" si="9"/>
        <v/>
      </c>
      <c r="X33" t="str">
        <f t="shared" si="10"/>
        <v/>
      </c>
      <c r="Y33" t="str">
        <f t="shared" si="11"/>
        <v/>
      </c>
      <c r="Z33" t="str">
        <f t="shared" si="12"/>
        <v/>
      </c>
      <c r="AA33" t="str">
        <f t="shared" si="13"/>
        <v/>
      </c>
      <c r="AB33" t="s">
        <v>601</v>
      </c>
    </row>
    <row r="34" spans="1:28">
      <c r="A34" t="s">
        <v>51</v>
      </c>
      <c r="B34" t="s">
        <v>374</v>
      </c>
      <c r="C34" t="s">
        <v>52</v>
      </c>
      <c r="D34" t="s">
        <v>326</v>
      </c>
      <c r="E34" s="2">
        <f t="shared" si="6"/>
        <v>2</v>
      </c>
      <c r="F34" t="s">
        <v>600</v>
      </c>
      <c r="G34" t="s">
        <v>629</v>
      </c>
      <c r="V34" t="str">
        <f t="shared" si="8"/>
        <v/>
      </c>
      <c r="W34" t="str">
        <f t="shared" si="9"/>
        <v/>
      </c>
      <c r="X34" t="str">
        <f t="shared" si="10"/>
        <v/>
      </c>
      <c r="Y34" t="str">
        <f t="shared" si="11"/>
        <v/>
      </c>
      <c r="Z34" t="str">
        <f t="shared" si="12"/>
        <v/>
      </c>
      <c r="AA34" t="str">
        <f t="shared" si="13"/>
        <v/>
      </c>
      <c r="AB34" t="s">
        <v>601</v>
      </c>
    </row>
    <row r="35" spans="1:28">
      <c r="A35" t="s">
        <v>51</v>
      </c>
      <c r="B35" t="s">
        <v>376</v>
      </c>
      <c r="C35" t="s">
        <v>52</v>
      </c>
      <c r="D35" t="s">
        <v>329</v>
      </c>
      <c r="E35" s="2">
        <f t="shared" si="6"/>
        <v>3</v>
      </c>
      <c r="F35" t="s">
        <v>602</v>
      </c>
      <c r="G35" t="s">
        <v>600</v>
      </c>
      <c r="H35" t="s">
        <v>629</v>
      </c>
      <c r="V35" t="str">
        <f t="shared" si="8"/>
        <v/>
      </c>
      <c r="W35" t="str">
        <f t="shared" si="9"/>
        <v/>
      </c>
      <c r="X35" t="str">
        <f t="shared" si="10"/>
        <v/>
      </c>
      <c r="Y35" t="str">
        <f t="shared" si="11"/>
        <v/>
      </c>
      <c r="Z35" t="str">
        <f t="shared" si="12"/>
        <v/>
      </c>
      <c r="AA35" t="str">
        <f t="shared" si="13"/>
        <v/>
      </c>
      <c r="AB35" t="s">
        <v>601</v>
      </c>
    </row>
    <row r="36" spans="1:28">
      <c r="A36" t="s">
        <v>53</v>
      </c>
      <c r="B36" t="s">
        <v>377</v>
      </c>
      <c r="C36" t="s">
        <v>54</v>
      </c>
      <c r="D36" t="s">
        <v>326</v>
      </c>
      <c r="E36" s="2">
        <f t="shared" si="6"/>
        <v>1</v>
      </c>
      <c r="F36" t="s">
        <v>378</v>
      </c>
      <c r="V36" t="str">
        <f t="shared" si="8"/>
        <v/>
      </c>
      <c r="W36" t="str">
        <f t="shared" si="9"/>
        <v/>
      </c>
      <c r="X36" t="str">
        <f t="shared" si="10"/>
        <v/>
      </c>
      <c r="Y36" t="str">
        <f t="shared" si="11"/>
        <v/>
      </c>
      <c r="Z36" t="str">
        <f t="shared" si="12"/>
        <v/>
      </c>
      <c r="AA36" t="str">
        <f t="shared" si="13"/>
        <v/>
      </c>
      <c r="AB36" t="s">
        <v>601</v>
      </c>
    </row>
    <row r="37" spans="1:28">
      <c r="A37" t="s">
        <v>53</v>
      </c>
      <c r="B37" t="s">
        <v>379</v>
      </c>
      <c r="C37" t="s">
        <v>54</v>
      </c>
      <c r="D37" t="s">
        <v>329</v>
      </c>
      <c r="E37" s="2">
        <f t="shared" si="6"/>
        <v>1</v>
      </c>
      <c r="F37" t="s">
        <v>602</v>
      </c>
      <c r="V37" t="str">
        <f t="shared" si="8"/>
        <v/>
      </c>
      <c r="W37" t="str">
        <f t="shared" si="9"/>
        <v/>
      </c>
      <c r="X37" t="str">
        <f t="shared" si="10"/>
        <v/>
      </c>
      <c r="Y37" t="str">
        <f t="shared" si="11"/>
        <v/>
      </c>
      <c r="Z37" t="str">
        <f t="shared" si="12"/>
        <v/>
      </c>
      <c r="AA37" t="str">
        <f t="shared" si="13"/>
        <v/>
      </c>
      <c r="AB37" t="s">
        <v>601</v>
      </c>
    </row>
    <row r="38" spans="1:28">
      <c r="A38" t="s">
        <v>55</v>
      </c>
      <c r="B38" t="s">
        <v>380</v>
      </c>
      <c r="C38" t="s">
        <v>56</v>
      </c>
      <c r="D38" t="s">
        <v>326</v>
      </c>
      <c r="E38" s="2">
        <f t="shared" si="6"/>
        <v>1</v>
      </c>
      <c r="F38" t="s">
        <v>600</v>
      </c>
      <c r="V38" t="str">
        <f t="shared" si="8"/>
        <v/>
      </c>
      <c r="W38" t="str">
        <f t="shared" si="9"/>
        <v/>
      </c>
      <c r="X38" t="str">
        <f t="shared" si="10"/>
        <v/>
      </c>
      <c r="Y38" t="str">
        <f t="shared" si="11"/>
        <v/>
      </c>
      <c r="Z38" t="str">
        <f t="shared" si="12"/>
        <v/>
      </c>
      <c r="AA38" t="str">
        <f t="shared" si="13"/>
        <v/>
      </c>
      <c r="AB38" t="s">
        <v>601</v>
      </c>
    </row>
    <row r="39" spans="1:28">
      <c r="A39" t="s">
        <v>55</v>
      </c>
      <c r="B39" t="s">
        <v>381</v>
      </c>
      <c r="C39" t="s">
        <v>56</v>
      </c>
      <c r="D39" t="s">
        <v>329</v>
      </c>
      <c r="E39" s="2">
        <f t="shared" si="6"/>
        <v>2</v>
      </c>
      <c r="F39" t="s">
        <v>602</v>
      </c>
      <c r="G39" t="s">
        <v>600</v>
      </c>
      <c r="V39" t="str">
        <f t="shared" si="8"/>
        <v/>
      </c>
      <c r="W39" t="str">
        <f t="shared" si="9"/>
        <v/>
      </c>
      <c r="X39" t="str">
        <f t="shared" si="10"/>
        <v/>
      </c>
      <c r="Y39" t="str">
        <f t="shared" si="11"/>
        <v/>
      </c>
      <c r="Z39" t="str">
        <f t="shared" si="12"/>
        <v/>
      </c>
      <c r="AA39" t="str">
        <f t="shared" si="13"/>
        <v/>
      </c>
      <c r="AB39" t="s">
        <v>601</v>
      </c>
    </row>
    <row r="40" spans="1:28">
      <c r="A40" t="s">
        <v>57</v>
      </c>
      <c r="B40" t="s">
        <v>382</v>
      </c>
      <c r="C40" t="s">
        <v>58</v>
      </c>
      <c r="D40" t="s">
        <v>326</v>
      </c>
      <c r="E40" s="2">
        <f t="shared" si="6"/>
        <v>2</v>
      </c>
      <c r="F40" t="s">
        <v>620</v>
      </c>
      <c r="G40" t="s">
        <v>621</v>
      </c>
      <c r="V40" t="str">
        <f t="shared" si="8"/>
        <v/>
      </c>
      <c r="W40" t="str">
        <f t="shared" si="9"/>
        <v/>
      </c>
      <c r="X40" t="str">
        <f t="shared" si="10"/>
        <v/>
      </c>
      <c r="Y40" t="str">
        <f t="shared" si="11"/>
        <v/>
      </c>
      <c r="Z40" t="str">
        <f t="shared" si="12"/>
        <v/>
      </c>
      <c r="AA40" t="str">
        <f t="shared" si="13"/>
        <v/>
      </c>
      <c r="AB40" t="s">
        <v>601</v>
      </c>
    </row>
    <row r="41" spans="1:28">
      <c r="A41" t="s">
        <v>57</v>
      </c>
      <c r="B41" t="s">
        <v>383</v>
      </c>
      <c r="C41" t="s">
        <v>58</v>
      </c>
      <c r="D41" t="s">
        <v>329</v>
      </c>
      <c r="E41" s="2">
        <f t="shared" si="6"/>
        <v>3</v>
      </c>
      <c r="F41" t="s">
        <v>602</v>
      </c>
      <c r="G41" t="s">
        <v>620</v>
      </c>
      <c r="H41" t="s">
        <v>621</v>
      </c>
      <c r="V41" t="str">
        <f t="shared" si="8"/>
        <v/>
      </c>
      <c r="W41" t="str">
        <f t="shared" si="9"/>
        <v/>
      </c>
      <c r="X41" t="str">
        <f t="shared" si="10"/>
        <v/>
      </c>
      <c r="Y41" t="str">
        <f t="shared" si="11"/>
        <v/>
      </c>
      <c r="Z41" t="str">
        <f t="shared" si="12"/>
        <v/>
      </c>
      <c r="AA41" t="str">
        <f t="shared" si="13"/>
        <v/>
      </c>
      <c r="AB41" t="s">
        <v>601</v>
      </c>
    </row>
    <row r="42" spans="1:28">
      <c r="A42" t="s">
        <v>59</v>
      </c>
      <c r="B42" t="s">
        <v>384</v>
      </c>
      <c r="C42" t="s">
        <v>60</v>
      </c>
      <c r="D42" t="s">
        <v>326</v>
      </c>
      <c r="E42" s="2">
        <f t="shared" si="6"/>
        <v>2</v>
      </c>
      <c r="F42" t="s">
        <v>626</v>
      </c>
      <c r="G42" t="s">
        <v>627</v>
      </c>
      <c r="V42" t="str">
        <f t="shared" si="8"/>
        <v/>
      </c>
      <c r="W42" t="str">
        <f t="shared" si="9"/>
        <v/>
      </c>
      <c r="X42" t="str">
        <f t="shared" si="10"/>
        <v/>
      </c>
      <c r="Y42" t="str">
        <f t="shared" si="11"/>
        <v/>
      </c>
      <c r="Z42" t="str">
        <f t="shared" si="12"/>
        <v/>
      </c>
      <c r="AA42" t="str">
        <f t="shared" si="13"/>
        <v/>
      </c>
      <c r="AB42" t="s">
        <v>601</v>
      </c>
    </row>
    <row r="43" spans="1:28">
      <c r="A43" t="s">
        <v>59</v>
      </c>
      <c r="B43" t="s">
        <v>385</v>
      </c>
      <c r="C43" t="s">
        <v>60</v>
      </c>
      <c r="D43" t="s">
        <v>329</v>
      </c>
      <c r="E43" s="2">
        <f t="shared" si="6"/>
        <v>3</v>
      </c>
      <c r="F43" t="s">
        <v>602</v>
      </c>
      <c r="G43" t="s">
        <v>626</v>
      </c>
      <c r="H43" t="s">
        <v>627</v>
      </c>
      <c r="V43" t="str">
        <f t="shared" si="8"/>
        <v/>
      </c>
      <c r="W43" t="str">
        <f t="shared" si="9"/>
        <v/>
      </c>
      <c r="X43" t="str">
        <f t="shared" si="10"/>
        <v/>
      </c>
      <c r="Y43" t="str">
        <f t="shared" si="11"/>
        <v/>
      </c>
      <c r="Z43" t="str">
        <f t="shared" si="12"/>
        <v/>
      </c>
      <c r="AA43" t="str">
        <f t="shared" si="13"/>
        <v/>
      </c>
      <c r="AB43" t="s">
        <v>601</v>
      </c>
    </row>
    <row r="44" spans="1:28">
      <c r="A44" t="s">
        <v>61</v>
      </c>
      <c r="B44" t="s">
        <v>386</v>
      </c>
      <c r="C44" t="s">
        <v>62</v>
      </c>
      <c r="D44" t="s">
        <v>326</v>
      </c>
      <c r="E44" s="2">
        <f t="shared" si="6"/>
        <v>1</v>
      </c>
      <c r="F44" t="s">
        <v>378</v>
      </c>
      <c r="V44" t="str">
        <f t="shared" si="8"/>
        <v/>
      </c>
      <c r="W44" t="str">
        <f t="shared" si="9"/>
        <v/>
      </c>
      <c r="X44" t="str">
        <f t="shared" si="10"/>
        <v/>
      </c>
      <c r="Y44" t="str">
        <f t="shared" si="11"/>
        <v/>
      </c>
      <c r="Z44" t="str">
        <f t="shared" si="12"/>
        <v/>
      </c>
      <c r="AA44" t="str">
        <f t="shared" si="13"/>
        <v/>
      </c>
      <c r="AB44" t="s">
        <v>601</v>
      </c>
    </row>
    <row r="45" spans="1:28">
      <c r="A45" t="s">
        <v>61</v>
      </c>
      <c r="B45" t="s">
        <v>387</v>
      </c>
      <c r="C45" t="s">
        <v>62</v>
      </c>
      <c r="D45" t="s">
        <v>329</v>
      </c>
      <c r="E45" s="2">
        <f t="shared" si="6"/>
        <v>1</v>
      </c>
      <c r="F45" t="s">
        <v>602</v>
      </c>
      <c r="V45" t="str">
        <f t="shared" si="8"/>
        <v/>
      </c>
      <c r="W45" t="str">
        <f t="shared" si="9"/>
        <v/>
      </c>
      <c r="X45" t="str">
        <f t="shared" si="10"/>
        <v/>
      </c>
      <c r="Y45" t="str">
        <f t="shared" si="11"/>
        <v/>
      </c>
      <c r="Z45" t="str">
        <f t="shared" si="12"/>
        <v/>
      </c>
      <c r="AA45" t="str">
        <f t="shared" si="13"/>
        <v/>
      </c>
      <c r="AB45" t="s">
        <v>601</v>
      </c>
    </row>
    <row r="46" spans="1:28">
      <c r="A46" t="s">
        <v>63</v>
      </c>
      <c r="B46" t="s">
        <v>388</v>
      </c>
      <c r="C46" t="s">
        <v>64</v>
      </c>
      <c r="D46" t="s">
        <v>326</v>
      </c>
      <c r="E46" s="2">
        <f t="shared" si="6"/>
        <v>1</v>
      </c>
      <c r="F46" t="s">
        <v>378</v>
      </c>
      <c r="V46" t="str">
        <f t="shared" si="8"/>
        <v/>
      </c>
      <c r="W46" t="str">
        <f t="shared" si="9"/>
        <v/>
      </c>
      <c r="X46" t="str">
        <f t="shared" si="10"/>
        <v/>
      </c>
      <c r="Y46" t="str">
        <f t="shared" si="11"/>
        <v/>
      </c>
      <c r="Z46" t="str">
        <f t="shared" si="12"/>
        <v/>
      </c>
      <c r="AA46" t="str">
        <f t="shared" si="13"/>
        <v/>
      </c>
      <c r="AB46" t="s">
        <v>601</v>
      </c>
    </row>
    <row r="47" spans="1:28">
      <c r="A47" t="s">
        <v>63</v>
      </c>
      <c r="B47" t="s">
        <v>389</v>
      </c>
      <c r="C47" t="s">
        <v>64</v>
      </c>
      <c r="D47" t="s">
        <v>329</v>
      </c>
      <c r="E47" s="2">
        <f t="shared" si="6"/>
        <v>1</v>
      </c>
      <c r="F47" t="s">
        <v>602</v>
      </c>
      <c r="V47" t="str">
        <f t="shared" si="8"/>
        <v/>
      </c>
      <c r="W47" t="str">
        <f t="shared" si="9"/>
        <v/>
      </c>
      <c r="X47" t="str">
        <f t="shared" si="10"/>
        <v/>
      </c>
      <c r="Y47" t="str">
        <f t="shared" si="11"/>
        <v/>
      </c>
      <c r="Z47" t="str">
        <f t="shared" si="12"/>
        <v/>
      </c>
      <c r="AA47" t="str">
        <f t="shared" si="13"/>
        <v/>
      </c>
      <c r="AB47" t="s">
        <v>601</v>
      </c>
    </row>
    <row r="48" spans="1:28">
      <c r="A48" t="s">
        <v>65</v>
      </c>
      <c r="B48" t="s">
        <v>390</v>
      </c>
      <c r="C48" t="s">
        <v>66</v>
      </c>
      <c r="D48" t="s">
        <v>326</v>
      </c>
      <c r="E48" s="2">
        <f t="shared" si="6"/>
        <v>1</v>
      </c>
      <c r="F48" t="s">
        <v>378</v>
      </c>
      <c r="V48" t="str">
        <f t="shared" si="8"/>
        <v/>
      </c>
      <c r="W48" t="str">
        <f t="shared" si="9"/>
        <v/>
      </c>
      <c r="X48" t="str">
        <f t="shared" si="10"/>
        <v/>
      </c>
      <c r="Y48" t="str">
        <f t="shared" si="11"/>
        <v/>
      </c>
      <c r="Z48" t="str">
        <f t="shared" si="12"/>
        <v/>
      </c>
      <c r="AA48" t="str">
        <f t="shared" si="13"/>
        <v/>
      </c>
      <c r="AB48" t="s">
        <v>601</v>
      </c>
    </row>
    <row r="49" spans="1:28">
      <c r="A49" t="s">
        <v>65</v>
      </c>
      <c r="B49" t="s">
        <v>391</v>
      </c>
      <c r="C49" t="s">
        <v>66</v>
      </c>
      <c r="D49" t="s">
        <v>329</v>
      </c>
      <c r="E49" s="2">
        <f t="shared" si="6"/>
        <v>1</v>
      </c>
      <c r="F49" t="s">
        <v>602</v>
      </c>
      <c r="V49" t="str">
        <f t="shared" si="8"/>
        <v/>
      </c>
      <c r="W49" t="str">
        <f t="shared" si="9"/>
        <v/>
      </c>
      <c r="X49" t="str">
        <f t="shared" si="10"/>
        <v/>
      </c>
      <c r="Y49" t="str">
        <f t="shared" si="11"/>
        <v/>
      </c>
      <c r="Z49" t="str">
        <f t="shared" si="12"/>
        <v/>
      </c>
      <c r="AA49" t="str">
        <f t="shared" si="13"/>
        <v/>
      </c>
      <c r="AB49" t="s">
        <v>601</v>
      </c>
    </row>
    <row r="50" spans="1:28">
      <c r="A50" t="s">
        <v>67</v>
      </c>
      <c r="B50" t="s">
        <v>392</v>
      </c>
      <c r="C50" t="s">
        <v>68</v>
      </c>
      <c r="D50" t="s">
        <v>326</v>
      </c>
      <c r="E50" s="2">
        <f t="shared" si="6"/>
        <v>2</v>
      </c>
      <c r="F50" t="s">
        <v>600</v>
      </c>
      <c r="G50" t="s">
        <v>608</v>
      </c>
      <c r="V50" t="str">
        <f t="shared" si="8"/>
        <v/>
      </c>
      <c r="W50" t="str">
        <f t="shared" si="9"/>
        <v/>
      </c>
      <c r="X50" t="str">
        <f t="shared" si="10"/>
        <v/>
      </c>
      <c r="Y50" t="str">
        <f t="shared" si="11"/>
        <v/>
      </c>
      <c r="Z50" t="str">
        <f t="shared" si="12"/>
        <v/>
      </c>
      <c r="AA50" t="str">
        <f t="shared" si="13"/>
        <v/>
      </c>
      <c r="AB50" t="s">
        <v>601</v>
      </c>
    </row>
    <row r="51" spans="1:28">
      <c r="A51" t="s">
        <v>67</v>
      </c>
      <c r="B51" t="s">
        <v>393</v>
      </c>
      <c r="C51" t="s">
        <v>68</v>
      </c>
      <c r="D51" t="s">
        <v>329</v>
      </c>
      <c r="E51" s="2">
        <f t="shared" si="6"/>
        <v>3</v>
      </c>
      <c r="F51" t="s">
        <v>602</v>
      </c>
      <c r="G51" t="s">
        <v>600</v>
      </c>
      <c r="H51" t="s">
        <v>608</v>
      </c>
      <c r="V51" t="str">
        <f t="shared" si="8"/>
        <v/>
      </c>
      <c r="W51" t="str">
        <f t="shared" si="9"/>
        <v/>
      </c>
      <c r="X51" t="str">
        <f t="shared" si="10"/>
        <v/>
      </c>
      <c r="Y51" t="str">
        <f t="shared" si="11"/>
        <v/>
      </c>
      <c r="Z51" t="str">
        <f t="shared" si="12"/>
        <v/>
      </c>
      <c r="AA51" t="str">
        <f t="shared" si="13"/>
        <v/>
      </c>
      <c r="AB51" t="s">
        <v>601</v>
      </c>
    </row>
    <row r="52" spans="1:28">
      <c r="A52" t="s">
        <v>69</v>
      </c>
      <c r="B52" t="s">
        <v>394</v>
      </c>
      <c r="C52" t="s">
        <v>70</v>
      </c>
      <c r="D52" t="s">
        <v>326</v>
      </c>
      <c r="E52" s="2">
        <f t="shared" si="6"/>
        <v>1</v>
      </c>
      <c r="F52" t="s">
        <v>600</v>
      </c>
      <c r="V52" t="str">
        <f t="shared" si="8"/>
        <v/>
      </c>
      <c r="W52" t="str">
        <f t="shared" si="9"/>
        <v/>
      </c>
      <c r="X52" t="str">
        <f t="shared" si="10"/>
        <v/>
      </c>
      <c r="Y52" t="str">
        <f t="shared" si="11"/>
        <v/>
      </c>
      <c r="Z52" t="str">
        <f t="shared" si="12"/>
        <v/>
      </c>
      <c r="AA52" t="str">
        <f t="shared" si="13"/>
        <v/>
      </c>
      <c r="AB52" t="s">
        <v>601</v>
      </c>
    </row>
    <row r="53" spans="1:28">
      <c r="A53" t="s">
        <v>69</v>
      </c>
      <c r="B53" t="s">
        <v>395</v>
      </c>
      <c r="C53" t="s">
        <v>70</v>
      </c>
      <c r="D53" t="s">
        <v>329</v>
      </c>
      <c r="E53" s="2">
        <f t="shared" si="6"/>
        <v>2</v>
      </c>
      <c r="F53" t="s">
        <v>602</v>
      </c>
      <c r="G53" t="s">
        <v>600</v>
      </c>
      <c r="V53" t="str">
        <f t="shared" si="8"/>
        <v/>
      </c>
      <c r="W53" t="str">
        <f t="shared" si="9"/>
        <v/>
      </c>
      <c r="X53" t="str">
        <f t="shared" si="10"/>
        <v/>
      </c>
      <c r="Y53" t="str">
        <f t="shared" si="11"/>
        <v/>
      </c>
      <c r="Z53" t="str">
        <f t="shared" si="12"/>
        <v/>
      </c>
      <c r="AA53" t="str">
        <f t="shared" si="13"/>
        <v/>
      </c>
      <c r="AB53" t="s">
        <v>601</v>
      </c>
    </row>
    <row r="54" spans="1:28">
      <c r="A54" t="s">
        <v>71</v>
      </c>
      <c r="B54" t="s">
        <v>396</v>
      </c>
      <c r="C54" t="s">
        <v>72</v>
      </c>
      <c r="D54" t="s">
        <v>326</v>
      </c>
      <c r="E54" s="2">
        <f t="shared" si="6"/>
        <v>1</v>
      </c>
      <c r="F54" t="s">
        <v>600</v>
      </c>
      <c r="V54" t="str">
        <f t="shared" si="8"/>
        <v/>
      </c>
      <c r="W54" t="str">
        <f t="shared" si="9"/>
        <v/>
      </c>
      <c r="X54" t="str">
        <f t="shared" si="10"/>
        <v/>
      </c>
      <c r="Y54" t="str">
        <f t="shared" si="11"/>
        <v/>
      </c>
      <c r="Z54" t="str">
        <f t="shared" si="12"/>
        <v/>
      </c>
      <c r="AA54" t="str">
        <f t="shared" si="13"/>
        <v/>
      </c>
      <c r="AB54" t="s">
        <v>601</v>
      </c>
    </row>
    <row r="55" spans="1:28">
      <c r="A55" t="s">
        <v>71</v>
      </c>
      <c r="B55" t="s">
        <v>397</v>
      </c>
      <c r="C55" t="s">
        <v>72</v>
      </c>
      <c r="D55" t="s">
        <v>329</v>
      </c>
      <c r="E55" s="2">
        <f t="shared" si="6"/>
        <v>2</v>
      </c>
      <c r="F55" t="s">
        <v>602</v>
      </c>
      <c r="G55" t="s">
        <v>600</v>
      </c>
      <c r="V55" t="str">
        <f t="shared" si="8"/>
        <v/>
      </c>
      <c r="W55" t="str">
        <f t="shared" si="9"/>
        <v/>
      </c>
      <c r="X55" t="str">
        <f t="shared" si="10"/>
        <v/>
      </c>
      <c r="Y55" t="str">
        <f t="shared" si="11"/>
        <v/>
      </c>
      <c r="Z55" t="str">
        <f t="shared" si="12"/>
        <v/>
      </c>
      <c r="AA55" t="str">
        <f t="shared" si="13"/>
        <v/>
      </c>
      <c r="AB55" t="s">
        <v>601</v>
      </c>
    </row>
    <row r="56" spans="1:28">
      <c r="A56" t="s">
        <v>73</v>
      </c>
      <c r="B56" t="s">
        <v>398</v>
      </c>
      <c r="C56" t="s">
        <v>74</v>
      </c>
      <c r="D56" t="s">
        <v>326</v>
      </c>
      <c r="E56" s="2">
        <f t="shared" si="6"/>
        <v>1</v>
      </c>
      <c r="F56" t="s">
        <v>600</v>
      </c>
      <c r="V56" t="str">
        <f t="shared" si="8"/>
        <v/>
      </c>
      <c r="W56" t="str">
        <f t="shared" si="9"/>
        <v/>
      </c>
      <c r="X56" t="str">
        <f t="shared" si="10"/>
        <v/>
      </c>
      <c r="Y56" t="str">
        <f t="shared" si="11"/>
        <v/>
      </c>
      <c r="Z56" t="str">
        <f t="shared" si="12"/>
        <v/>
      </c>
      <c r="AA56" t="str">
        <f t="shared" si="13"/>
        <v/>
      </c>
      <c r="AB56" t="s">
        <v>601</v>
      </c>
    </row>
    <row r="57" spans="1:28">
      <c r="A57" t="s">
        <v>73</v>
      </c>
      <c r="B57" t="s">
        <v>399</v>
      </c>
      <c r="C57" t="s">
        <v>74</v>
      </c>
      <c r="D57" t="s">
        <v>329</v>
      </c>
      <c r="E57" s="2">
        <f t="shared" si="6"/>
        <v>2</v>
      </c>
      <c r="F57" t="s">
        <v>602</v>
      </c>
      <c r="G57" t="s">
        <v>600</v>
      </c>
      <c r="V57" t="str">
        <f t="shared" si="8"/>
        <v/>
      </c>
      <c r="W57" t="str">
        <f t="shared" si="9"/>
        <v/>
      </c>
      <c r="X57" t="str">
        <f t="shared" si="10"/>
        <v/>
      </c>
      <c r="Y57" t="str">
        <f t="shared" si="11"/>
        <v/>
      </c>
      <c r="Z57" t="str">
        <f t="shared" si="12"/>
        <v/>
      </c>
      <c r="AA57" t="str">
        <f t="shared" si="13"/>
        <v/>
      </c>
      <c r="AB57" t="s">
        <v>601</v>
      </c>
    </row>
    <row r="58" spans="1:28">
      <c r="A58" t="s">
        <v>75</v>
      </c>
      <c r="B58" t="s">
        <v>400</v>
      </c>
      <c r="C58" t="s">
        <v>76</v>
      </c>
      <c r="D58" t="s">
        <v>326</v>
      </c>
      <c r="E58" s="2">
        <f t="shared" si="6"/>
        <v>3</v>
      </c>
      <c r="F58" t="s">
        <v>630</v>
      </c>
      <c r="G58" t="s">
        <v>631</v>
      </c>
      <c r="H58" t="s">
        <v>632</v>
      </c>
      <c r="P58" t="s">
        <v>633</v>
      </c>
      <c r="Q58" t="s">
        <v>634</v>
      </c>
      <c r="V58" t="str">
        <f t="shared" si="8"/>
        <v>if (p_PropertyName == "ZigZagHigh") { return (myIndicatorType.ZigZagHigh[p_BarsAgo]); }</v>
      </c>
      <c r="W58" t="str">
        <f t="shared" si="9"/>
        <v>if (p_PropertyName == "ZigZagLow") { return (myIndicatorType.ZigZagLow[p_BarsAgo]); }</v>
      </c>
      <c r="X58" t="str">
        <f t="shared" si="10"/>
        <v/>
      </c>
      <c r="Y58" t="str">
        <f t="shared" si="11"/>
        <v/>
      </c>
      <c r="Z58" t="str">
        <f t="shared" si="12"/>
        <v/>
      </c>
      <c r="AA58" t="str">
        <f t="shared" si="13"/>
        <v>if (p_PropertyName == "ZigZagHigh") { return (myIndicatorType.ZigZagHigh[p_BarsAgo]); }if (p_PropertyName == "ZigZagLow") { return (myIndicatorType.ZigZagLow[p_BarsAgo]); }</v>
      </c>
      <c r="AB58" t="s">
        <v>635</v>
      </c>
    </row>
    <row r="59" spans="1:28">
      <c r="A59" t="s">
        <v>75</v>
      </c>
      <c r="B59" t="s">
        <v>404</v>
      </c>
      <c r="C59" t="s">
        <v>76</v>
      </c>
      <c r="D59" t="s">
        <v>329</v>
      </c>
      <c r="E59" s="2">
        <f t="shared" si="6"/>
        <v>4</v>
      </c>
      <c r="F59" t="s">
        <v>602</v>
      </c>
      <c r="G59" t="s">
        <v>630</v>
      </c>
      <c r="H59" t="s">
        <v>631</v>
      </c>
      <c r="I59" t="s">
        <v>632</v>
      </c>
      <c r="P59" t="s">
        <v>633</v>
      </c>
      <c r="Q59" t="s">
        <v>634</v>
      </c>
      <c r="V59" t="str">
        <f t="shared" si="8"/>
        <v>if (p_PropertyName == "ZigZagHigh") { return (myIndicatorType.ZigZagHigh[p_BarsAgo]); }</v>
      </c>
      <c r="W59" t="str">
        <f t="shared" si="9"/>
        <v>if (p_PropertyName == "ZigZagLow") { return (myIndicatorType.ZigZagLow[p_BarsAgo]); }</v>
      </c>
      <c r="X59" t="str">
        <f t="shared" si="10"/>
        <v/>
      </c>
      <c r="Y59" t="str">
        <f t="shared" si="11"/>
        <v/>
      </c>
      <c r="Z59" t="str">
        <f t="shared" si="12"/>
        <v/>
      </c>
      <c r="AA59" t="str">
        <f t="shared" si="13"/>
        <v>if (p_PropertyName == "ZigZagHigh") { return (myIndicatorType.ZigZagHigh[p_BarsAgo]); }if (p_PropertyName == "ZigZagLow") { return (myIndicatorType.ZigZagLow[p_BarsAgo]); }</v>
      </c>
      <c r="AB59" t="s">
        <v>635</v>
      </c>
    </row>
    <row r="60" spans="1:28">
      <c r="A60" t="s">
        <v>78</v>
      </c>
      <c r="B60" t="s">
        <v>405</v>
      </c>
      <c r="C60" t="s">
        <v>79</v>
      </c>
      <c r="D60" t="s">
        <v>326</v>
      </c>
      <c r="E60" s="2">
        <f t="shared" si="6"/>
        <v>1</v>
      </c>
      <c r="F60" t="s">
        <v>600</v>
      </c>
      <c r="V60" t="str">
        <f t="shared" si="8"/>
        <v/>
      </c>
      <c r="W60" t="str">
        <f t="shared" si="9"/>
        <v/>
      </c>
      <c r="X60" t="str">
        <f t="shared" si="10"/>
        <v/>
      </c>
      <c r="Y60" t="str">
        <f t="shared" si="11"/>
        <v/>
      </c>
      <c r="Z60" t="str">
        <f t="shared" si="12"/>
        <v/>
      </c>
      <c r="AA60" t="str">
        <f t="shared" si="13"/>
        <v/>
      </c>
      <c r="AB60" t="s">
        <v>601</v>
      </c>
    </row>
    <row r="61" spans="1:28">
      <c r="A61" t="s">
        <v>78</v>
      </c>
      <c r="B61" t="s">
        <v>406</v>
      </c>
      <c r="C61" t="s">
        <v>79</v>
      </c>
      <c r="D61" t="s">
        <v>329</v>
      </c>
      <c r="E61" s="2">
        <f t="shared" si="6"/>
        <v>2</v>
      </c>
      <c r="F61" t="s">
        <v>602</v>
      </c>
      <c r="G61" t="s">
        <v>600</v>
      </c>
      <c r="V61" t="str">
        <f t="shared" si="8"/>
        <v/>
      </c>
      <c r="W61" t="str">
        <f t="shared" si="9"/>
        <v/>
      </c>
      <c r="X61" t="str">
        <f t="shared" si="10"/>
        <v/>
      </c>
      <c r="Y61" t="str">
        <f t="shared" si="11"/>
        <v/>
      </c>
      <c r="Z61" t="str">
        <f t="shared" si="12"/>
        <v/>
      </c>
      <c r="AA61" t="str">
        <f t="shared" si="13"/>
        <v/>
      </c>
      <c r="AB61" t="s">
        <v>601</v>
      </c>
    </row>
    <row r="62" spans="1:28">
      <c r="A62" t="s">
        <v>80</v>
      </c>
      <c r="B62" t="s">
        <v>407</v>
      </c>
      <c r="C62" t="s">
        <v>81</v>
      </c>
      <c r="D62" t="s">
        <v>326</v>
      </c>
      <c r="E62" s="2">
        <f t="shared" si="6"/>
        <v>9</v>
      </c>
      <c r="F62" t="s">
        <v>636</v>
      </c>
      <c r="G62" t="s">
        <v>637</v>
      </c>
      <c r="H62" t="s">
        <v>600</v>
      </c>
      <c r="I62" t="s">
        <v>638</v>
      </c>
      <c r="J62" t="s">
        <v>639</v>
      </c>
      <c r="K62" t="s">
        <v>640</v>
      </c>
      <c r="L62" t="s">
        <v>641</v>
      </c>
      <c r="M62" t="s">
        <v>642</v>
      </c>
      <c r="N62" t="s">
        <v>643</v>
      </c>
      <c r="P62" t="s">
        <v>644</v>
      </c>
      <c r="Q62" t="s">
        <v>645</v>
      </c>
      <c r="R62" t="s">
        <v>646</v>
      </c>
      <c r="S62" t="s">
        <v>647</v>
      </c>
      <c r="V62" t="str">
        <f t="shared" si="8"/>
        <v>if (p_PropertyName == "Turbo") { return (myIndicatorType.Turbo[p_BarsAgo]); }</v>
      </c>
      <c r="W62" t="str">
        <f t="shared" si="9"/>
        <v>if (p_PropertyName == "ZoneBars") { return (myIndicatorType.ZoneBars[p_BarsAgo]); }</v>
      </c>
      <c r="X62" t="str">
        <f t="shared" si="10"/>
        <v>if (p_PropertyName == "ChopZone") { return (myIndicatorType.ChopZone[p_BarsAgo]); }</v>
      </c>
      <c r="Y62" t="str">
        <f t="shared" si="11"/>
        <v>if (p_PropertyName == "Sidewinder") { return (myIndicatorType.Sidewinder[p_BarsAgo]); }</v>
      </c>
      <c r="Z62" t="str">
        <f t="shared" si="12"/>
        <v/>
      </c>
      <c r="AA62" t="str">
        <f t="shared" si="13"/>
        <v>if (p_PropertyName == "Turbo") { return (myIndicatorType.Turbo[p_BarsAgo]); }if (p_PropertyName == "ZoneBars") { return (myIndicatorType.ZoneBars[p_BarsAgo]); }if (p_PropertyName == "ChopZone") { return (myIndicatorType.ChopZone[p_BarsAgo]); }if (p_PropertyName == "Sidewinder") { return (myIndicatorType.Sidewinder[p_BarsAgo]); }</v>
      </c>
      <c r="AB62" t="s">
        <v>648</v>
      </c>
    </row>
    <row r="63" spans="1:28">
      <c r="A63" t="s">
        <v>80</v>
      </c>
      <c r="B63" t="s">
        <v>416</v>
      </c>
      <c r="C63" t="s">
        <v>81</v>
      </c>
      <c r="D63" t="s">
        <v>329</v>
      </c>
      <c r="E63" s="2">
        <f t="shared" si="6"/>
        <v>10</v>
      </c>
      <c r="F63" t="s">
        <v>602</v>
      </c>
      <c r="G63" t="s">
        <v>636</v>
      </c>
      <c r="H63" t="s">
        <v>637</v>
      </c>
      <c r="I63" t="s">
        <v>600</v>
      </c>
      <c r="J63" t="s">
        <v>638</v>
      </c>
      <c r="K63" t="s">
        <v>639</v>
      </c>
      <c r="L63" t="s">
        <v>640</v>
      </c>
      <c r="M63" t="s">
        <v>641</v>
      </c>
      <c r="N63" t="s">
        <v>642</v>
      </c>
      <c r="O63" t="s">
        <v>643</v>
      </c>
      <c r="P63" t="s">
        <v>644</v>
      </c>
      <c r="Q63" t="s">
        <v>645</v>
      </c>
      <c r="R63" t="s">
        <v>646</v>
      </c>
      <c r="S63" t="s">
        <v>647</v>
      </c>
      <c r="V63" t="str">
        <f t="shared" si="8"/>
        <v>if (p_PropertyName == "Turbo") { return (myIndicatorType.Turbo[p_BarsAgo]); }</v>
      </c>
      <c r="W63" t="str">
        <f t="shared" si="9"/>
        <v>if (p_PropertyName == "ZoneBars") { return (myIndicatorType.ZoneBars[p_BarsAgo]); }</v>
      </c>
      <c r="X63" t="str">
        <f t="shared" si="10"/>
        <v>if (p_PropertyName == "ChopZone") { return (myIndicatorType.ChopZone[p_BarsAgo]); }</v>
      </c>
      <c r="Y63" t="str">
        <f t="shared" si="11"/>
        <v>if (p_PropertyName == "Sidewinder") { return (myIndicatorType.Sidewinder[p_BarsAgo]); }</v>
      </c>
      <c r="Z63" t="str">
        <f t="shared" si="12"/>
        <v/>
      </c>
      <c r="AA63" t="str">
        <f t="shared" si="13"/>
        <v>if (p_PropertyName == "Turbo") { return (myIndicatorType.Turbo[p_BarsAgo]); }if (p_PropertyName == "ZoneBars") { return (myIndicatorType.ZoneBars[p_BarsAgo]); }if (p_PropertyName == "ChopZone") { return (myIndicatorType.ChopZone[p_BarsAgo]); }if (p_PropertyName == "Sidewinder") { return (myIndicatorType.Sidewinder[p_BarsAgo]); }</v>
      </c>
      <c r="AB63" t="s">
        <v>648</v>
      </c>
    </row>
    <row r="64" spans="1:28">
      <c r="A64" t="s">
        <v>82</v>
      </c>
      <c r="B64" t="s">
        <v>417</v>
      </c>
      <c r="C64" t="s">
        <v>83</v>
      </c>
      <c r="D64" t="s">
        <v>326</v>
      </c>
      <c r="E64" s="2">
        <f t="shared" si="6"/>
        <v>2</v>
      </c>
      <c r="F64" t="s">
        <v>649</v>
      </c>
      <c r="G64" t="s">
        <v>650</v>
      </c>
      <c r="P64" t="s">
        <v>651</v>
      </c>
      <c r="Q64" t="s">
        <v>652</v>
      </c>
      <c r="R64" t="s">
        <v>653</v>
      </c>
      <c r="S64" t="s">
        <v>654</v>
      </c>
      <c r="V64" t="str">
        <f t="shared" si="8"/>
        <v>if (p_PropertyName == "R1") { return (myIndicatorType.R1[p_BarsAgo]); }</v>
      </c>
      <c r="W64" t="str">
        <f t="shared" si="9"/>
        <v>if (p_PropertyName == "R2") { return (myIndicatorType.R2[p_BarsAgo]); }</v>
      </c>
      <c r="X64" t="str">
        <f t="shared" si="10"/>
        <v>if (p_PropertyName == "S1") { return (myIndicatorType.S1[p_BarsAgo]); }</v>
      </c>
      <c r="Y64" t="str">
        <f t="shared" si="11"/>
        <v>if (p_PropertyName == "S2") { return (myIndicatorType.S2[p_BarsAgo]); }</v>
      </c>
      <c r="Z64" t="str">
        <f t="shared" si="12"/>
        <v/>
      </c>
      <c r="AA64" t="str">
        <f t="shared" si="13"/>
        <v>if (p_PropertyName == "R1") { return (myIndicatorType.R1[p_BarsAgo]); }if (p_PropertyName == "R2") { return (myIndicatorType.R2[p_BarsAgo]); }if (p_PropertyName == "S1") { return (myIndicatorType.S1[p_BarsAgo]); }if (p_PropertyName == "S2") { return (myIndicatorType.S2[p_BarsAgo]); }</v>
      </c>
      <c r="AB64" t="s">
        <v>655</v>
      </c>
    </row>
    <row r="65" spans="1:28">
      <c r="A65" t="s">
        <v>82</v>
      </c>
      <c r="B65" t="s">
        <v>420</v>
      </c>
      <c r="C65" t="s">
        <v>83</v>
      </c>
      <c r="D65" t="s">
        <v>329</v>
      </c>
      <c r="E65" s="2">
        <f t="shared" si="6"/>
        <v>3</v>
      </c>
      <c r="F65" t="s">
        <v>602</v>
      </c>
      <c r="G65" t="s">
        <v>649</v>
      </c>
      <c r="H65" t="s">
        <v>650</v>
      </c>
      <c r="P65" t="s">
        <v>651</v>
      </c>
      <c r="Q65" t="s">
        <v>652</v>
      </c>
      <c r="R65" t="s">
        <v>653</v>
      </c>
      <c r="S65" t="s">
        <v>654</v>
      </c>
      <c r="V65" t="str">
        <f t="shared" si="8"/>
        <v>if (p_PropertyName == "R1") { return (myIndicatorType.R1[p_BarsAgo]); }</v>
      </c>
      <c r="W65" t="str">
        <f t="shared" si="9"/>
        <v>if (p_PropertyName == "R2") { return (myIndicatorType.R2[p_BarsAgo]); }</v>
      </c>
      <c r="X65" t="str">
        <f t="shared" si="10"/>
        <v>if (p_PropertyName == "S1") { return (myIndicatorType.S1[p_BarsAgo]); }</v>
      </c>
      <c r="Y65" t="str">
        <f t="shared" si="11"/>
        <v>if (p_PropertyName == "S2") { return (myIndicatorType.S2[p_BarsAgo]); }</v>
      </c>
      <c r="Z65" t="str">
        <f t="shared" si="12"/>
        <v/>
      </c>
      <c r="AA65" t="str">
        <f t="shared" si="13"/>
        <v>if (p_PropertyName == "R1") { return (myIndicatorType.R1[p_BarsAgo]); }if (p_PropertyName == "R2") { return (myIndicatorType.R2[p_BarsAgo]); }if (p_PropertyName == "S1") { return (myIndicatorType.S1[p_BarsAgo]); }if (p_PropertyName == "S2") { return (myIndicatorType.S2[p_BarsAgo]); }</v>
      </c>
      <c r="AB65" t="s">
        <v>655</v>
      </c>
    </row>
    <row r="66" spans="1:28">
      <c r="A66" t="s">
        <v>85</v>
      </c>
      <c r="B66" t="s">
        <v>421</v>
      </c>
      <c r="C66" t="s">
        <v>86</v>
      </c>
      <c r="D66" t="s">
        <v>326</v>
      </c>
      <c r="E66" s="2">
        <f t="shared" si="6"/>
        <v>1</v>
      </c>
      <c r="F66" t="s">
        <v>378</v>
      </c>
      <c r="V66" t="str">
        <f t="shared" si="8"/>
        <v/>
      </c>
      <c r="W66" t="str">
        <f t="shared" si="9"/>
        <v/>
      </c>
      <c r="X66" t="str">
        <f t="shared" si="10"/>
        <v/>
      </c>
      <c r="Y66" t="str">
        <f t="shared" si="11"/>
        <v/>
      </c>
      <c r="Z66" t="str">
        <f t="shared" si="12"/>
        <v/>
      </c>
      <c r="AA66" t="str">
        <f t="shared" si="13"/>
        <v/>
      </c>
      <c r="AB66" t="s">
        <v>601</v>
      </c>
    </row>
    <row r="67" spans="1:28">
      <c r="A67" t="s">
        <v>85</v>
      </c>
      <c r="B67" t="s">
        <v>422</v>
      </c>
      <c r="C67" t="s">
        <v>86</v>
      </c>
      <c r="D67" t="s">
        <v>329</v>
      </c>
      <c r="E67" s="2">
        <f t="shared" ref="E67:E130" si="14">COUNTA(F67:O67)</f>
        <v>1</v>
      </c>
      <c r="F67" t="s">
        <v>602</v>
      </c>
      <c r="V67" t="str">
        <f t="shared" si="8"/>
        <v/>
      </c>
      <c r="W67" t="str">
        <f t="shared" si="9"/>
        <v/>
      </c>
      <c r="X67" t="str">
        <f t="shared" si="10"/>
        <v/>
      </c>
      <c r="Y67" t="str">
        <f t="shared" si="11"/>
        <v/>
      </c>
      <c r="Z67" t="str">
        <f t="shared" si="12"/>
        <v/>
      </c>
      <c r="AA67" t="str">
        <f t="shared" si="13"/>
        <v/>
      </c>
      <c r="AB67" t="s">
        <v>601</v>
      </c>
    </row>
    <row r="68" spans="1:28">
      <c r="A68" t="s">
        <v>87</v>
      </c>
      <c r="B68" t="s">
        <v>423</v>
      </c>
      <c r="C68" t="s">
        <v>88</v>
      </c>
      <c r="D68" t="s">
        <v>326</v>
      </c>
      <c r="E68" s="2">
        <f t="shared" si="14"/>
        <v>1</v>
      </c>
      <c r="F68" t="s">
        <v>600</v>
      </c>
      <c r="V68" t="str">
        <f t="shared" si="8"/>
        <v/>
      </c>
      <c r="W68" t="str">
        <f t="shared" si="9"/>
        <v/>
      </c>
      <c r="X68" t="str">
        <f t="shared" si="10"/>
        <v/>
      </c>
      <c r="Y68" t="str">
        <f t="shared" si="11"/>
        <v/>
      </c>
      <c r="Z68" t="str">
        <f t="shared" si="12"/>
        <v/>
      </c>
      <c r="AA68" t="str">
        <f t="shared" si="13"/>
        <v/>
      </c>
      <c r="AB68" t="s">
        <v>601</v>
      </c>
    </row>
    <row r="69" spans="1:28">
      <c r="A69" t="s">
        <v>87</v>
      </c>
      <c r="B69" t="s">
        <v>424</v>
      </c>
      <c r="C69" t="s">
        <v>88</v>
      </c>
      <c r="D69" t="s">
        <v>329</v>
      </c>
      <c r="E69" s="2">
        <f t="shared" si="14"/>
        <v>2</v>
      </c>
      <c r="F69" t="s">
        <v>602</v>
      </c>
      <c r="G69" t="s">
        <v>600</v>
      </c>
      <c r="V69" t="str">
        <f t="shared" si="8"/>
        <v/>
      </c>
      <c r="W69" t="str">
        <f t="shared" si="9"/>
        <v/>
      </c>
      <c r="X69" t="str">
        <f t="shared" si="10"/>
        <v/>
      </c>
      <c r="Y69" t="str">
        <f t="shared" si="11"/>
        <v/>
      </c>
      <c r="Z69" t="str">
        <f t="shared" si="12"/>
        <v/>
      </c>
      <c r="AA69" t="str">
        <f t="shared" si="13"/>
        <v/>
      </c>
      <c r="AB69" t="s">
        <v>601</v>
      </c>
    </row>
    <row r="70" spans="1:28">
      <c r="A70" t="s">
        <v>89</v>
      </c>
      <c r="B70" t="s">
        <v>425</v>
      </c>
      <c r="C70" t="s">
        <v>90</v>
      </c>
      <c r="D70" t="s">
        <v>326</v>
      </c>
      <c r="E70" s="2">
        <f t="shared" si="14"/>
        <v>2</v>
      </c>
      <c r="F70" t="s">
        <v>656</v>
      </c>
      <c r="G70" t="s">
        <v>600</v>
      </c>
      <c r="V70" t="str">
        <f t="shared" si="8"/>
        <v/>
      </c>
      <c r="W70" t="str">
        <f t="shared" si="9"/>
        <v/>
      </c>
      <c r="X70" t="str">
        <f t="shared" si="10"/>
        <v/>
      </c>
      <c r="Y70" t="str">
        <f t="shared" si="11"/>
        <v/>
      </c>
      <c r="Z70" t="str">
        <f t="shared" si="12"/>
        <v/>
      </c>
      <c r="AA70" t="str">
        <f t="shared" si="13"/>
        <v/>
      </c>
      <c r="AB70" t="s">
        <v>601</v>
      </c>
    </row>
    <row r="71" spans="1:28">
      <c r="A71" t="s">
        <v>89</v>
      </c>
      <c r="B71" t="s">
        <v>427</v>
      </c>
      <c r="C71" t="s">
        <v>90</v>
      </c>
      <c r="D71" t="s">
        <v>329</v>
      </c>
      <c r="E71" s="2">
        <f t="shared" si="14"/>
        <v>3</v>
      </c>
      <c r="F71" t="s">
        <v>602</v>
      </c>
      <c r="G71" t="s">
        <v>656</v>
      </c>
      <c r="H71" t="s">
        <v>600</v>
      </c>
      <c r="V71" t="str">
        <f t="shared" ref="V71:V134" si="15">IF(P71&lt;&gt;0,$V$1&amp;P71&amp;$W$1&amp;P71&amp;$X$1,"")</f>
        <v/>
      </c>
      <c r="W71" t="str">
        <f t="shared" ref="W71:W134" si="16">IF(Q71&lt;&gt;0,$V$1&amp;Q71&amp;$W$1&amp;Q71&amp;$X$1,"")</f>
        <v/>
      </c>
      <c r="X71" t="str">
        <f t="shared" ref="X71:X134" si="17">IF(R71&lt;&gt;0,$V$1&amp;R71&amp;$W$1&amp;R71&amp;$X$1,"")</f>
        <v/>
      </c>
      <c r="Y71" t="str">
        <f t="shared" ref="Y71:Y134" si="18">IF(S71&lt;&gt;0,$V$1&amp;S71&amp;$W$1&amp;S71&amp;$X$1,"")</f>
        <v/>
      </c>
      <c r="Z71" t="str">
        <f t="shared" ref="Z71:Z134" si="19">IF(T71&lt;&gt;0,$V$1&amp;T71&amp;$W$1&amp;T71&amp;$X$1,"")</f>
        <v/>
      </c>
      <c r="AA71" t="str">
        <f t="shared" ref="AA71:AA134" si="20">V71&amp;W71&amp;X71&amp;Y71&amp;Z71</f>
        <v/>
      </c>
      <c r="AB71" t="s">
        <v>601</v>
      </c>
    </row>
    <row r="72" spans="1:28">
      <c r="A72" t="s">
        <v>91</v>
      </c>
      <c r="B72" t="s">
        <v>428</v>
      </c>
      <c r="C72" t="s">
        <v>92</v>
      </c>
      <c r="D72" t="s">
        <v>326</v>
      </c>
      <c r="E72" s="2">
        <f t="shared" si="14"/>
        <v>2</v>
      </c>
      <c r="F72" t="s">
        <v>657</v>
      </c>
      <c r="G72" t="s">
        <v>600</v>
      </c>
      <c r="P72" t="s">
        <v>603</v>
      </c>
      <c r="Q72" t="s">
        <v>604</v>
      </c>
      <c r="V72" t="str">
        <f t="shared" si="15"/>
        <v>if (p_PropertyName == "Upper") { return (myIndicatorType.Upper[p_BarsAgo]); }</v>
      </c>
      <c r="W72" t="str">
        <f t="shared" si="16"/>
        <v>if (p_PropertyName == "Lower") { return (myIndicatorType.Lower[p_BarsAgo]); }</v>
      </c>
      <c r="X72" t="str">
        <f t="shared" si="17"/>
        <v/>
      </c>
      <c r="Y72" t="str">
        <f t="shared" si="18"/>
        <v/>
      </c>
      <c r="Z72" t="str">
        <f t="shared" si="19"/>
        <v/>
      </c>
      <c r="AA72" t="str">
        <f t="shared" si="20"/>
        <v>if (p_PropertyName == "Upper") { return (myIndicatorType.Upper[p_BarsAgo]); }if (p_PropertyName == "Lower") { return (myIndicatorType.Lower[p_BarsAgo]); }</v>
      </c>
      <c r="AB72" t="s">
        <v>605</v>
      </c>
    </row>
    <row r="73" spans="1:28">
      <c r="A73" t="s">
        <v>91</v>
      </c>
      <c r="B73" t="s">
        <v>430</v>
      </c>
      <c r="C73" t="s">
        <v>92</v>
      </c>
      <c r="D73" t="s">
        <v>329</v>
      </c>
      <c r="E73" s="2">
        <f t="shared" si="14"/>
        <v>3</v>
      </c>
      <c r="F73" t="s">
        <v>602</v>
      </c>
      <c r="G73" t="s">
        <v>657</v>
      </c>
      <c r="H73" t="s">
        <v>600</v>
      </c>
      <c r="P73" t="s">
        <v>603</v>
      </c>
      <c r="Q73" t="s">
        <v>604</v>
      </c>
      <c r="V73" t="str">
        <f t="shared" si="15"/>
        <v>if (p_PropertyName == "Upper") { return (myIndicatorType.Upper[p_BarsAgo]); }</v>
      </c>
      <c r="W73" t="str">
        <f t="shared" si="16"/>
        <v>if (p_PropertyName == "Lower") { return (myIndicatorType.Lower[p_BarsAgo]); }</v>
      </c>
      <c r="X73" t="str">
        <f t="shared" si="17"/>
        <v/>
      </c>
      <c r="Y73" t="str">
        <f t="shared" si="18"/>
        <v/>
      </c>
      <c r="Z73" t="str">
        <f t="shared" si="19"/>
        <v/>
      </c>
      <c r="AA73" t="str">
        <f t="shared" si="20"/>
        <v>if (p_PropertyName == "Upper") { return (myIndicatorType.Upper[p_BarsAgo]); }if (p_PropertyName == "Lower") { return (myIndicatorType.Lower[p_BarsAgo]); }</v>
      </c>
      <c r="AB73" t="s">
        <v>605</v>
      </c>
    </row>
    <row r="74" spans="1:28">
      <c r="A74" t="s">
        <v>93</v>
      </c>
      <c r="B74" t="s">
        <v>431</v>
      </c>
      <c r="C74" t="s">
        <v>94</v>
      </c>
      <c r="D74" t="s">
        <v>326</v>
      </c>
      <c r="E74" s="2">
        <f t="shared" si="14"/>
        <v>1</v>
      </c>
      <c r="F74" t="s">
        <v>600</v>
      </c>
      <c r="P74" t="s">
        <v>658</v>
      </c>
      <c r="Q74" t="s">
        <v>659</v>
      </c>
      <c r="V74" t="str">
        <f t="shared" si="15"/>
        <v>if (p_PropertyName == "Up") { return (myIndicatorType.Up[p_BarsAgo]); }</v>
      </c>
      <c r="W74" t="str">
        <f t="shared" si="16"/>
        <v>if (p_PropertyName == "Down") { return (myIndicatorType.Down[p_BarsAgo]); }</v>
      </c>
      <c r="X74" t="str">
        <f t="shared" si="17"/>
        <v/>
      </c>
      <c r="Y74" t="str">
        <f t="shared" si="18"/>
        <v/>
      </c>
      <c r="Z74" t="str">
        <f t="shared" si="19"/>
        <v/>
      </c>
      <c r="AA74" t="str">
        <f t="shared" si="20"/>
        <v>if (p_PropertyName == "Up") { return (myIndicatorType.Up[p_BarsAgo]); }if (p_PropertyName == "Down") { return (myIndicatorType.Down[p_BarsAgo]); }</v>
      </c>
      <c r="AB74" t="s">
        <v>660</v>
      </c>
    </row>
    <row r="75" spans="1:28">
      <c r="A75" t="s">
        <v>93</v>
      </c>
      <c r="B75" t="s">
        <v>432</v>
      </c>
      <c r="C75" t="s">
        <v>94</v>
      </c>
      <c r="D75" t="s">
        <v>329</v>
      </c>
      <c r="E75" s="2">
        <f t="shared" si="14"/>
        <v>2</v>
      </c>
      <c r="F75" t="s">
        <v>602</v>
      </c>
      <c r="G75" t="s">
        <v>600</v>
      </c>
      <c r="P75" t="s">
        <v>658</v>
      </c>
      <c r="Q75" t="s">
        <v>659</v>
      </c>
      <c r="V75" t="str">
        <f t="shared" si="15"/>
        <v>if (p_PropertyName == "Up") { return (myIndicatorType.Up[p_BarsAgo]); }</v>
      </c>
      <c r="W75" t="str">
        <f t="shared" si="16"/>
        <v>if (p_PropertyName == "Down") { return (myIndicatorType.Down[p_BarsAgo]); }</v>
      </c>
      <c r="X75" t="str">
        <f t="shared" si="17"/>
        <v/>
      </c>
      <c r="Y75" t="str">
        <f t="shared" si="18"/>
        <v/>
      </c>
      <c r="Z75" t="str">
        <f t="shared" si="19"/>
        <v/>
      </c>
      <c r="AA75" t="str">
        <f t="shared" si="20"/>
        <v>if (p_PropertyName == "Up") { return (myIndicatorType.Up[p_BarsAgo]); }if (p_PropertyName == "Down") { return (myIndicatorType.Down[p_BarsAgo]); }</v>
      </c>
      <c r="AB75" t="s">
        <v>660</v>
      </c>
    </row>
    <row r="76" spans="1:28">
      <c r="A76" t="s">
        <v>95</v>
      </c>
      <c r="B76" t="s">
        <v>433</v>
      </c>
      <c r="C76" t="s">
        <v>96</v>
      </c>
      <c r="D76" t="s">
        <v>326</v>
      </c>
      <c r="E76" s="2">
        <f t="shared" si="14"/>
        <v>1</v>
      </c>
      <c r="F76" t="s">
        <v>600</v>
      </c>
      <c r="V76" t="str">
        <f t="shared" si="15"/>
        <v/>
      </c>
      <c r="W76" t="str">
        <f t="shared" si="16"/>
        <v/>
      </c>
      <c r="X76" t="str">
        <f t="shared" si="17"/>
        <v/>
      </c>
      <c r="Y76" t="str">
        <f t="shared" si="18"/>
        <v/>
      </c>
      <c r="Z76" t="str">
        <f t="shared" si="19"/>
        <v/>
      </c>
      <c r="AA76" t="str">
        <f t="shared" si="20"/>
        <v/>
      </c>
      <c r="AB76" t="s">
        <v>601</v>
      </c>
    </row>
    <row r="77" spans="1:28">
      <c r="A77" t="s">
        <v>95</v>
      </c>
      <c r="B77" t="s">
        <v>434</v>
      </c>
      <c r="C77" t="s">
        <v>96</v>
      </c>
      <c r="D77" t="s">
        <v>329</v>
      </c>
      <c r="E77" s="2">
        <f t="shared" si="14"/>
        <v>2</v>
      </c>
      <c r="F77" t="s">
        <v>602</v>
      </c>
      <c r="G77" t="s">
        <v>600</v>
      </c>
      <c r="V77" t="str">
        <f t="shared" si="15"/>
        <v/>
      </c>
      <c r="W77" t="str">
        <f t="shared" si="16"/>
        <v/>
      </c>
      <c r="X77" t="str">
        <f t="shared" si="17"/>
        <v/>
      </c>
      <c r="Y77" t="str">
        <f t="shared" si="18"/>
        <v/>
      </c>
      <c r="Z77" t="str">
        <f t="shared" si="19"/>
        <v/>
      </c>
      <c r="AA77" t="str">
        <f t="shared" si="20"/>
        <v/>
      </c>
      <c r="AB77" t="s">
        <v>601</v>
      </c>
    </row>
    <row r="78" spans="1:28">
      <c r="A78" t="s">
        <v>97</v>
      </c>
      <c r="B78" t="s">
        <v>435</v>
      </c>
      <c r="C78" t="s">
        <v>98</v>
      </c>
      <c r="D78" t="s">
        <v>326</v>
      </c>
      <c r="E78" s="2">
        <f t="shared" si="14"/>
        <v>1</v>
      </c>
      <c r="F78" t="s">
        <v>600</v>
      </c>
      <c r="V78" t="str">
        <f t="shared" si="15"/>
        <v/>
      </c>
      <c r="W78" t="str">
        <f t="shared" si="16"/>
        <v/>
      </c>
      <c r="X78" t="str">
        <f t="shared" si="17"/>
        <v/>
      </c>
      <c r="Y78" t="str">
        <f t="shared" si="18"/>
        <v/>
      </c>
      <c r="Z78" t="str">
        <f t="shared" si="19"/>
        <v/>
      </c>
      <c r="AA78" t="str">
        <f t="shared" si="20"/>
        <v/>
      </c>
      <c r="AB78" t="s">
        <v>601</v>
      </c>
    </row>
    <row r="79" spans="1:28">
      <c r="A79" t="s">
        <v>97</v>
      </c>
      <c r="B79" t="s">
        <v>436</v>
      </c>
      <c r="C79" t="s">
        <v>98</v>
      </c>
      <c r="D79" t="s">
        <v>329</v>
      </c>
      <c r="E79" s="2">
        <f t="shared" si="14"/>
        <v>2</v>
      </c>
      <c r="F79" t="s">
        <v>602</v>
      </c>
      <c r="G79" t="s">
        <v>600</v>
      </c>
      <c r="V79" t="str">
        <f t="shared" si="15"/>
        <v/>
      </c>
      <c r="W79" t="str">
        <f t="shared" si="16"/>
        <v/>
      </c>
      <c r="X79" t="str">
        <f t="shared" si="17"/>
        <v/>
      </c>
      <c r="Y79" t="str">
        <f t="shared" si="18"/>
        <v/>
      </c>
      <c r="Z79" t="str">
        <f t="shared" si="19"/>
        <v/>
      </c>
      <c r="AA79" t="str">
        <f t="shared" si="20"/>
        <v/>
      </c>
      <c r="AB79" t="s">
        <v>601</v>
      </c>
    </row>
    <row r="80" spans="1:28">
      <c r="A80" t="s">
        <v>99</v>
      </c>
      <c r="B80" t="s">
        <v>437</v>
      </c>
      <c r="C80" t="s">
        <v>100</v>
      </c>
      <c r="D80" t="s">
        <v>326</v>
      </c>
      <c r="E80" s="2">
        <f t="shared" si="14"/>
        <v>1</v>
      </c>
      <c r="F80" t="s">
        <v>378</v>
      </c>
      <c r="V80" t="str">
        <f t="shared" si="15"/>
        <v/>
      </c>
      <c r="W80" t="str">
        <f t="shared" si="16"/>
        <v/>
      </c>
      <c r="X80" t="str">
        <f t="shared" si="17"/>
        <v/>
      </c>
      <c r="Y80" t="str">
        <f t="shared" si="18"/>
        <v/>
      </c>
      <c r="Z80" t="str">
        <f t="shared" si="19"/>
        <v/>
      </c>
      <c r="AA80" t="str">
        <f t="shared" si="20"/>
        <v/>
      </c>
      <c r="AB80" t="s">
        <v>601</v>
      </c>
    </row>
    <row r="81" spans="1:28">
      <c r="A81" t="s">
        <v>99</v>
      </c>
      <c r="B81" t="s">
        <v>438</v>
      </c>
      <c r="C81" t="s">
        <v>100</v>
      </c>
      <c r="D81" t="s">
        <v>329</v>
      </c>
      <c r="E81" s="2">
        <f t="shared" si="14"/>
        <v>1</v>
      </c>
      <c r="F81" t="s">
        <v>602</v>
      </c>
      <c r="V81" t="str">
        <f t="shared" si="15"/>
        <v/>
      </c>
      <c r="W81" t="str">
        <f t="shared" si="16"/>
        <v/>
      </c>
      <c r="X81" t="str">
        <f t="shared" si="17"/>
        <v/>
      </c>
      <c r="Y81" t="str">
        <f t="shared" si="18"/>
        <v/>
      </c>
      <c r="Z81" t="str">
        <f t="shared" si="19"/>
        <v/>
      </c>
      <c r="AA81" t="str">
        <f t="shared" si="20"/>
        <v/>
      </c>
      <c r="AB81" t="s">
        <v>601</v>
      </c>
    </row>
    <row r="82" spans="1:28">
      <c r="A82" t="s">
        <v>101</v>
      </c>
      <c r="B82" t="s">
        <v>439</v>
      </c>
      <c r="C82" t="s">
        <v>102</v>
      </c>
      <c r="D82" t="s">
        <v>326</v>
      </c>
      <c r="E82" s="2">
        <f t="shared" si="14"/>
        <v>2</v>
      </c>
      <c r="F82" t="s">
        <v>661</v>
      </c>
      <c r="G82" t="s">
        <v>600</v>
      </c>
      <c r="P82" t="s">
        <v>603</v>
      </c>
      <c r="Q82" t="s">
        <v>604</v>
      </c>
      <c r="V82" t="str">
        <f t="shared" si="15"/>
        <v>if (p_PropertyName == "Upper") { return (myIndicatorType.Upper[p_BarsAgo]); }</v>
      </c>
      <c r="W82" t="str">
        <f t="shared" si="16"/>
        <v>if (p_PropertyName == "Lower") { return (myIndicatorType.Lower[p_BarsAgo]); }</v>
      </c>
      <c r="X82" t="str">
        <f t="shared" si="17"/>
        <v/>
      </c>
      <c r="Y82" t="str">
        <f t="shared" si="18"/>
        <v/>
      </c>
      <c r="Z82" t="str">
        <f t="shared" si="19"/>
        <v/>
      </c>
      <c r="AA82" t="str">
        <f t="shared" si="20"/>
        <v>if (p_PropertyName == "Upper") { return (myIndicatorType.Upper[p_BarsAgo]); }if (p_PropertyName == "Lower") { return (myIndicatorType.Lower[p_BarsAgo]); }</v>
      </c>
      <c r="AB82" t="s">
        <v>605</v>
      </c>
    </row>
    <row r="83" spans="1:28">
      <c r="A83" t="s">
        <v>101</v>
      </c>
      <c r="B83" t="s">
        <v>441</v>
      </c>
      <c r="C83" t="s">
        <v>102</v>
      </c>
      <c r="D83" t="s">
        <v>329</v>
      </c>
      <c r="E83" s="2">
        <f t="shared" si="14"/>
        <v>3</v>
      </c>
      <c r="F83" t="s">
        <v>602</v>
      </c>
      <c r="G83" t="s">
        <v>661</v>
      </c>
      <c r="H83" t="s">
        <v>600</v>
      </c>
      <c r="P83" t="s">
        <v>603</v>
      </c>
      <c r="Q83" t="s">
        <v>604</v>
      </c>
      <c r="V83" t="str">
        <f t="shared" si="15"/>
        <v>if (p_PropertyName == "Upper") { return (myIndicatorType.Upper[p_BarsAgo]); }</v>
      </c>
      <c r="W83" t="str">
        <f t="shared" si="16"/>
        <v>if (p_PropertyName == "Lower") { return (myIndicatorType.Lower[p_BarsAgo]); }</v>
      </c>
      <c r="X83" t="str">
        <f t="shared" si="17"/>
        <v/>
      </c>
      <c r="Y83" t="str">
        <f t="shared" si="18"/>
        <v/>
      </c>
      <c r="Z83" t="str">
        <f t="shared" si="19"/>
        <v/>
      </c>
      <c r="AA83" t="str">
        <f t="shared" si="20"/>
        <v>if (p_PropertyName == "Upper") { return (myIndicatorType.Upper[p_BarsAgo]); }if (p_PropertyName == "Lower") { return (myIndicatorType.Lower[p_BarsAgo]); }</v>
      </c>
      <c r="AB83" t="s">
        <v>605</v>
      </c>
    </row>
    <row r="84" spans="1:28">
      <c r="A84" t="s">
        <v>103</v>
      </c>
      <c r="B84" t="s">
        <v>442</v>
      </c>
      <c r="C84" t="s">
        <v>104</v>
      </c>
      <c r="D84" t="s">
        <v>326</v>
      </c>
      <c r="E84" s="2">
        <f t="shared" si="14"/>
        <v>1</v>
      </c>
      <c r="F84" t="s">
        <v>608</v>
      </c>
      <c r="V84" t="str">
        <f t="shared" si="15"/>
        <v/>
      </c>
      <c r="W84" t="str">
        <f t="shared" si="16"/>
        <v/>
      </c>
      <c r="X84" t="str">
        <f t="shared" si="17"/>
        <v/>
      </c>
      <c r="Y84" t="str">
        <f t="shared" si="18"/>
        <v/>
      </c>
      <c r="Z84" t="str">
        <f t="shared" si="19"/>
        <v/>
      </c>
      <c r="AA84" t="str">
        <f t="shared" si="20"/>
        <v/>
      </c>
      <c r="AB84" t="s">
        <v>601</v>
      </c>
    </row>
    <row r="85" spans="1:28">
      <c r="A85" t="s">
        <v>103</v>
      </c>
      <c r="B85" t="s">
        <v>443</v>
      </c>
      <c r="C85" t="s">
        <v>104</v>
      </c>
      <c r="D85" t="s">
        <v>329</v>
      </c>
      <c r="E85" s="2">
        <f t="shared" si="14"/>
        <v>2</v>
      </c>
      <c r="F85" t="s">
        <v>602</v>
      </c>
      <c r="G85" t="s">
        <v>608</v>
      </c>
      <c r="V85" t="str">
        <f t="shared" si="15"/>
        <v/>
      </c>
      <c r="W85" t="str">
        <f t="shared" si="16"/>
        <v/>
      </c>
      <c r="X85" t="str">
        <f t="shared" si="17"/>
        <v/>
      </c>
      <c r="Y85" t="str">
        <f t="shared" si="18"/>
        <v/>
      </c>
      <c r="Z85" t="str">
        <f t="shared" si="19"/>
        <v/>
      </c>
      <c r="AA85" t="str">
        <f t="shared" si="20"/>
        <v/>
      </c>
      <c r="AB85" t="s">
        <v>601</v>
      </c>
    </row>
    <row r="86" spans="1:28">
      <c r="A86" t="s">
        <v>105</v>
      </c>
      <c r="B86" t="s">
        <v>444</v>
      </c>
      <c r="C86" t="s">
        <v>106</v>
      </c>
      <c r="D86" t="s">
        <v>326</v>
      </c>
      <c r="E86" s="2">
        <f t="shared" si="14"/>
        <v>1</v>
      </c>
      <c r="F86" t="s">
        <v>378</v>
      </c>
      <c r="P86" t="s">
        <v>662</v>
      </c>
      <c r="Q86" t="s">
        <v>663</v>
      </c>
      <c r="V86" t="str">
        <f t="shared" si="15"/>
        <v>if (p_PropertyName == "BuyPressure") { return (myIndicatorType.BuyPressure[p_BarsAgo]); }</v>
      </c>
      <c r="W86" t="str">
        <f t="shared" si="16"/>
        <v>if (p_PropertyName == "SellPressure") { return (myIndicatorType.SellPressure[p_BarsAgo]); }</v>
      </c>
      <c r="X86" t="str">
        <f t="shared" si="17"/>
        <v/>
      </c>
      <c r="Y86" t="str">
        <f t="shared" si="18"/>
        <v/>
      </c>
      <c r="Z86" t="str">
        <f t="shared" si="19"/>
        <v/>
      </c>
      <c r="AA86" t="str">
        <f t="shared" si="20"/>
        <v>if (p_PropertyName == "BuyPressure") { return (myIndicatorType.BuyPressure[p_BarsAgo]); }if (p_PropertyName == "SellPressure") { return (myIndicatorType.SellPressure[p_BarsAgo]); }</v>
      </c>
      <c r="AB86" t="s">
        <v>664</v>
      </c>
    </row>
    <row r="87" spans="1:28">
      <c r="A87" t="s">
        <v>105</v>
      </c>
      <c r="B87" t="s">
        <v>445</v>
      </c>
      <c r="C87" t="s">
        <v>106</v>
      </c>
      <c r="D87" t="s">
        <v>329</v>
      </c>
      <c r="E87" s="2">
        <f t="shared" si="14"/>
        <v>1</v>
      </c>
      <c r="F87" t="s">
        <v>602</v>
      </c>
      <c r="P87" t="s">
        <v>662</v>
      </c>
      <c r="Q87" t="s">
        <v>663</v>
      </c>
      <c r="V87" t="str">
        <f t="shared" si="15"/>
        <v>if (p_PropertyName == "BuyPressure") { return (myIndicatorType.BuyPressure[p_BarsAgo]); }</v>
      </c>
      <c r="W87" t="str">
        <f t="shared" si="16"/>
        <v>if (p_PropertyName == "SellPressure") { return (myIndicatorType.SellPressure[p_BarsAgo]); }</v>
      </c>
      <c r="X87" t="str">
        <f t="shared" si="17"/>
        <v/>
      </c>
      <c r="Y87" t="str">
        <f t="shared" si="18"/>
        <v/>
      </c>
      <c r="Z87" t="str">
        <f t="shared" si="19"/>
        <v/>
      </c>
      <c r="AA87" t="str">
        <f t="shared" si="20"/>
        <v>if (p_PropertyName == "BuyPressure") { return (myIndicatorType.BuyPressure[p_BarsAgo]); }if (p_PropertyName == "SellPressure") { return (myIndicatorType.SellPressure[p_BarsAgo]); }</v>
      </c>
      <c r="AB87" t="s">
        <v>664</v>
      </c>
    </row>
    <row r="88" spans="1:28">
      <c r="A88" t="s">
        <v>107</v>
      </c>
      <c r="B88" t="s">
        <v>446</v>
      </c>
      <c r="C88" t="s">
        <v>108</v>
      </c>
      <c r="D88" t="s">
        <v>326</v>
      </c>
      <c r="E88" s="2">
        <f t="shared" si="14"/>
        <v>1</v>
      </c>
      <c r="F88" t="s">
        <v>378</v>
      </c>
      <c r="P88" t="s">
        <v>665</v>
      </c>
      <c r="Q88" t="s">
        <v>666</v>
      </c>
      <c r="V88" t="str">
        <f t="shared" si="15"/>
        <v>if (p_PropertyName == "Buys") { return (myIndicatorType.Buys[p_BarsAgo]); }</v>
      </c>
      <c r="W88" t="str">
        <f t="shared" si="16"/>
        <v>if (p_PropertyName == "Sells") { return (myIndicatorType.Sells[p_BarsAgo]); }</v>
      </c>
      <c r="X88" t="str">
        <f t="shared" si="17"/>
        <v/>
      </c>
      <c r="Y88" t="str">
        <f t="shared" si="18"/>
        <v/>
      </c>
      <c r="Z88" t="str">
        <f t="shared" si="19"/>
        <v/>
      </c>
      <c r="AA88" t="str">
        <f t="shared" si="20"/>
        <v>if (p_PropertyName == "Buys") { return (myIndicatorType.Buys[p_BarsAgo]); }if (p_PropertyName == "Sells") { return (myIndicatorType.Sells[p_BarsAgo]); }</v>
      </c>
      <c r="AB88" t="s">
        <v>667</v>
      </c>
    </row>
    <row r="89" spans="1:28">
      <c r="A89" t="s">
        <v>107</v>
      </c>
      <c r="B89" t="s">
        <v>447</v>
      </c>
      <c r="C89" t="s">
        <v>108</v>
      </c>
      <c r="D89" t="s">
        <v>329</v>
      </c>
      <c r="E89" s="2">
        <f t="shared" si="14"/>
        <v>1</v>
      </c>
      <c r="F89" t="s">
        <v>602</v>
      </c>
      <c r="P89" t="s">
        <v>665</v>
      </c>
      <c r="Q89" t="s">
        <v>666</v>
      </c>
      <c r="V89" t="str">
        <f t="shared" si="15"/>
        <v>if (p_PropertyName == "Buys") { return (myIndicatorType.Buys[p_BarsAgo]); }</v>
      </c>
      <c r="W89" t="str">
        <f t="shared" si="16"/>
        <v>if (p_PropertyName == "Sells") { return (myIndicatorType.Sells[p_BarsAgo]); }</v>
      </c>
      <c r="X89" t="str">
        <f t="shared" si="17"/>
        <v/>
      </c>
      <c r="Y89" t="str">
        <f t="shared" si="18"/>
        <v/>
      </c>
      <c r="Z89" t="str">
        <f t="shared" si="19"/>
        <v/>
      </c>
      <c r="AA89" t="str">
        <f t="shared" si="20"/>
        <v>if (p_PropertyName == "Buys") { return (myIndicatorType.Buys[p_BarsAgo]); }if (p_PropertyName == "Sells") { return (myIndicatorType.Sells[p_BarsAgo]); }</v>
      </c>
      <c r="AB89" t="s">
        <v>667</v>
      </c>
    </row>
    <row r="90" spans="1:28">
      <c r="A90" t="s">
        <v>109</v>
      </c>
      <c r="B90" t="s">
        <v>448</v>
      </c>
      <c r="C90" t="s">
        <v>110</v>
      </c>
      <c r="D90" t="s">
        <v>326</v>
      </c>
      <c r="E90" s="2">
        <f t="shared" si="14"/>
        <v>2</v>
      </c>
      <c r="F90" t="s">
        <v>668</v>
      </c>
      <c r="G90" t="s">
        <v>669</v>
      </c>
      <c r="V90" t="str">
        <f t="shared" si="15"/>
        <v/>
      </c>
      <c r="W90" t="str">
        <f t="shared" si="16"/>
        <v/>
      </c>
      <c r="X90" t="str">
        <f t="shared" si="17"/>
        <v/>
      </c>
      <c r="Y90" t="str">
        <f t="shared" si="18"/>
        <v/>
      </c>
      <c r="Z90" t="str">
        <f t="shared" si="19"/>
        <v/>
      </c>
      <c r="AA90" t="str">
        <f t="shared" si="20"/>
        <v/>
      </c>
      <c r="AB90" t="s">
        <v>601</v>
      </c>
    </row>
    <row r="91" spans="1:28">
      <c r="A91" t="s">
        <v>109</v>
      </c>
      <c r="B91" t="s">
        <v>451</v>
      </c>
      <c r="C91" t="s">
        <v>110</v>
      </c>
      <c r="D91" t="s">
        <v>329</v>
      </c>
      <c r="E91" s="2">
        <f t="shared" si="14"/>
        <v>3</v>
      </c>
      <c r="F91" t="s">
        <v>602</v>
      </c>
      <c r="G91" t="s">
        <v>668</v>
      </c>
      <c r="H91" t="s">
        <v>669</v>
      </c>
      <c r="V91" t="str">
        <f t="shared" si="15"/>
        <v/>
      </c>
      <c r="W91" t="str">
        <f t="shared" si="16"/>
        <v/>
      </c>
      <c r="X91" t="str">
        <f t="shared" si="17"/>
        <v/>
      </c>
      <c r="Y91" t="str">
        <f t="shared" si="18"/>
        <v/>
      </c>
      <c r="Z91" t="str">
        <f t="shared" si="19"/>
        <v/>
      </c>
      <c r="AA91" t="str">
        <f t="shared" si="20"/>
        <v/>
      </c>
      <c r="AB91" t="s">
        <v>601</v>
      </c>
    </row>
    <row r="92" spans="1:28">
      <c r="A92" t="s">
        <v>112</v>
      </c>
      <c r="B92" t="s">
        <v>452</v>
      </c>
      <c r="C92" t="s">
        <v>113</v>
      </c>
      <c r="D92" t="s">
        <v>326</v>
      </c>
      <c r="E92" s="2">
        <f t="shared" si="14"/>
        <v>1</v>
      </c>
      <c r="F92" t="s">
        <v>600</v>
      </c>
      <c r="V92" t="str">
        <f t="shared" si="15"/>
        <v/>
      </c>
      <c r="W92" t="str">
        <f t="shared" si="16"/>
        <v/>
      </c>
      <c r="X92" t="str">
        <f t="shared" si="17"/>
        <v/>
      </c>
      <c r="Y92" t="str">
        <f t="shared" si="18"/>
        <v/>
      </c>
      <c r="Z92" t="str">
        <f t="shared" si="19"/>
        <v/>
      </c>
      <c r="AA92" t="str">
        <f t="shared" si="20"/>
        <v/>
      </c>
      <c r="AB92" t="s">
        <v>601</v>
      </c>
    </row>
    <row r="93" spans="1:28">
      <c r="A93" t="s">
        <v>112</v>
      </c>
      <c r="B93" t="s">
        <v>453</v>
      </c>
      <c r="C93" t="s">
        <v>113</v>
      </c>
      <c r="D93" t="s">
        <v>329</v>
      </c>
      <c r="E93" s="2">
        <f t="shared" si="14"/>
        <v>2</v>
      </c>
      <c r="F93" t="s">
        <v>602</v>
      </c>
      <c r="G93" t="s">
        <v>600</v>
      </c>
      <c r="V93" t="str">
        <f t="shared" si="15"/>
        <v/>
      </c>
      <c r="W93" t="str">
        <f t="shared" si="16"/>
        <v/>
      </c>
      <c r="X93" t="str">
        <f t="shared" si="17"/>
        <v/>
      </c>
      <c r="Y93" t="str">
        <f t="shared" si="18"/>
        <v/>
      </c>
      <c r="Z93" t="str">
        <f t="shared" si="19"/>
        <v/>
      </c>
      <c r="AA93" t="str">
        <f t="shared" si="20"/>
        <v/>
      </c>
      <c r="AB93" t="s">
        <v>601</v>
      </c>
    </row>
    <row r="94" spans="1:28">
      <c r="A94" t="s">
        <v>114</v>
      </c>
      <c r="B94" t="s">
        <v>454</v>
      </c>
      <c r="C94" t="s">
        <v>115</v>
      </c>
      <c r="D94" t="s">
        <v>326</v>
      </c>
      <c r="E94" s="2">
        <f t="shared" si="14"/>
        <v>1</v>
      </c>
      <c r="F94" t="s">
        <v>600</v>
      </c>
      <c r="V94" t="str">
        <f t="shared" si="15"/>
        <v/>
      </c>
      <c r="W94" t="str">
        <f t="shared" si="16"/>
        <v/>
      </c>
      <c r="X94" t="str">
        <f t="shared" si="17"/>
        <v/>
      </c>
      <c r="Y94" t="str">
        <f t="shared" si="18"/>
        <v/>
      </c>
      <c r="Z94" t="str">
        <f t="shared" si="19"/>
        <v/>
      </c>
      <c r="AA94" t="str">
        <f t="shared" si="20"/>
        <v/>
      </c>
      <c r="AB94" t="s">
        <v>601</v>
      </c>
    </row>
    <row r="95" spans="1:28">
      <c r="A95" t="s">
        <v>114</v>
      </c>
      <c r="B95" t="s">
        <v>455</v>
      </c>
      <c r="C95" t="s">
        <v>115</v>
      </c>
      <c r="D95" t="s">
        <v>329</v>
      </c>
      <c r="E95" s="2">
        <f t="shared" si="14"/>
        <v>2</v>
      </c>
      <c r="F95" t="s">
        <v>602</v>
      </c>
      <c r="G95" t="s">
        <v>600</v>
      </c>
      <c r="V95" t="str">
        <f t="shared" si="15"/>
        <v/>
      </c>
      <c r="W95" t="str">
        <f t="shared" si="16"/>
        <v/>
      </c>
      <c r="X95" t="str">
        <f t="shared" si="17"/>
        <v/>
      </c>
      <c r="Y95" t="str">
        <f t="shared" si="18"/>
        <v/>
      </c>
      <c r="Z95" t="str">
        <f t="shared" si="19"/>
        <v/>
      </c>
      <c r="AA95" t="str">
        <f t="shared" si="20"/>
        <v/>
      </c>
      <c r="AB95" t="s">
        <v>601</v>
      </c>
    </row>
    <row r="96" spans="1:28">
      <c r="A96" t="s">
        <v>116</v>
      </c>
      <c r="B96" t="s">
        <v>456</v>
      </c>
      <c r="C96" t="s">
        <v>117</v>
      </c>
      <c r="D96" t="s">
        <v>326</v>
      </c>
      <c r="E96" s="2">
        <f t="shared" si="14"/>
        <v>2</v>
      </c>
      <c r="F96" t="s">
        <v>626</v>
      </c>
      <c r="G96" t="s">
        <v>627</v>
      </c>
      <c r="V96" t="str">
        <f t="shared" si="15"/>
        <v/>
      </c>
      <c r="W96" t="str">
        <f t="shared" si="16"/>
        <v/>
      </c>
      <c r="X96" t="str">
        <f t="shared" si="17"/>
        <v/>
      </c>
      <c r="Y96" t="str">
        <f t="shared" si="18"/>
        <v/>
      </c>
      <c r="Z96" t="str">
        <f t="shared" si="19"/>
        <v/>
      </c>
      <c r="AA96" t="str">
        <f t="shared" si="20"/>
        <v/>
      </c>
      <c r="AB96" t="s">
        <v>601</v>
      </c>
    </row>
    <row r="97" spans="1:28">
      <c r="A97" t="s">
        <v>116</v>
      </c>
      <c r="B97" t="s">
        <v>457</v>
      </c>
      <c r="C97" t="s">
        <v>117</v>
      </c>
      <c r="D97" t="s">
        <v>329</v>
      </c>
      <c r="E97" s="2">
        <f t="shared" si="14"/>
        <v>3</v>
      </c>
      <c r="F97" t="s">
        <v>602</v>
      </c>
      <c r="G97" t="s">
        <v>626</v>
      </c>
      <c r="H97" t="s">
        <v>627</v>
      </c>
      <c r="V97" t="str">
        <f t="shared" si="15"/>
        <v/>
      </c>
      <c r="W97" t="str">
        <f t="shared" si="16"/>
        <v/>
      </c>
      <c r="X97" t="str">
        <f t="shared" si="17"/>
        <v/>
      </c>
      <c r="Y97" t="str">
        <f t="shared" si="18"/>
        <v/>
      </c>
      <c r="Z97" t="str">
        <f t="shared" si="19"/>
        <v/>
      </c>
      <c r="AA97" t="str">
        <f t="shared" si="20"/>
        <v/>
      </c>
      <c r="AB97" t="s">
        <v>601</v>
      </c>
    </row>
    <row r="98" spans="1:28">
      <c r="A98" t="s">
        <v>118</v>
      </c>
      <c r="B98" t="s">
        <v>458</v>
      </c>
      <c r="C98" t="s">
        <v>119</v>
      </c>
      <c r="D98" t="s">
        <v>326</v>
      </c>
      <c r="E98" s="2">
        <f t="shared" si="14"/>
        <v>2</v>
      </c>
      <c r="F98" t="s">
        <v>670</v>
      </c>
      <c r="G98" t="s">
        <v>671</v>
      </c>
      <c r="V98" t="str">
        <f t="shared" si="15"/>
        <v/>
      </c>
      <c r="W98" t="str">
        <f t="shared" si="16"/>
        <v/>
      </c>
      <c r="X98" t="str">
        <f t="shared" si="17"/>
        <v/>
      </c>
      <c r="Y98" t="str">
        <f t="shared" si="18"/>
        <v/>
      </c>
      <c r="Z98" t="str">
        <f t="shared" si="19"/>
        <v/>
      </c>
      <c r="AA98" t="str">
        <f t="shared" si="20"/>
        <v/>
      </c>
      <c r="AB98" t="s">
        <v>601</v>
      </c>
    </row>
    <row r="99" spans="1:28">
      <c r="A99" t="s">
        <v>118</v>
      </c>
      <c r="B99" t="s">
        <v>461</v>
      </c>
      <c r="C99" t="s">
        <v>119</v>
      </c>
      <c r="D99" t="s">
        <v>329</v>
      </c>
      <c r="E99" s="2">
        <f t="shared" si="14"/>
        <v>3</v>
      </c>
      <c r="F99" t="s">
        <v>602</v>
      </c>
      <c r="G99" t="s">
        <v>670</v>
      </c>
      <c r="H99" t="s">
        <v>671</v>
      </c>
      <c r="V99" t="str">
        <f t="shared" si="15"/>
        <v/>
      </c>
      <c r="W99" t="str">
        <f t="shared" si="16"/>
        <v/>
      </c>
      <c r="X99" t="str">
        <f t="shared" si="17"/>
        <v/>
      </c>
      <c r="Y99" t="str">
        <f t="shared" si="18"/>
        <v/>
      </c>
      <c r="Z99" t="str">
        <f t="shared" si="19"/>
        <v/>
      </c>
      <c r="AA99" t="str">
        <f t="shared" si="20"/>
        <v/>
      </c>
      <c r="AB99" t="s">
        <v>601</v>
      </c>
    </row>
    <row r="100" spans="1:28">
      <c r="A100" t="s">
        <v>120</v>
      </c>
      <c r="B100" t="s">
        <v>462</v>
      </c>
      <c r="C100" t="s">
        <v>121</v>
      </c>
      <c r="D100" t="s">
        <v>326</v>
      </c>
      <c r="E100" s="2">
        <f t="shared" si="14"/>
        <v>1</v>
      </c>
      <c r="F100" t="s">
        <v>600</v>
      </c>
      <c r="V100" t="str">
        <f t="shared" si="15"/>
        <v/>
      </c>
      <c r="W100" t="str">
        <f t="shared" si="16"/>
        <v/>
      </c>
      <c r="X100" t="str">
        <f t="shared" si="17"/>
        <v/>
      </c>
      <c r="Y100" t="str">
        <f t="shared" si="18"/>
        <v/>
      </c>
      <c r="Z100" t="str">
        <f t="shared" si="19"/>
        <v/>
      </c>
      <c r="AA100" t="str">
        <f t="shared" si="20"/>
        <v/>
      </c>
      <c r="AB100" t="s">
        <v>601</v>
      </c>
    </row>
    <row r="101" spans="1:28">
      <c r="A101" t="s">
        <v>120</v>
      </c>
      <c r="B101" t="s">
        <v>463</v>
      </c>
      <c r="C101" t="s">
        <v>121</v>
      </c>
      <c r="D101" t="s">
        <v>329</v>
      </c>
      <c r="E101" s="2">
        <f t="shared" si="14"/>
        <v>2</v>
      </c>
      <c r="F101" t="s">
        <v>602</v>
      </c>
      <c r="G101" t="s">
        <v>600</v>
      </c>
      <c r="V101" t="str">
        <f t="shared" si="15"/>
        <v/>
      </c>
      <c r="W101" t="str">
        <f t="shared" si="16"/>
        <v/>
      </c>
      <c r="X101" t="str">
        <f t="shared" si="17"/>
        <v/>
      </c>
      <c r="Y101" t="str">
        <f t="shared" si="18"/>
        <v/>
      </c>
      <c r="Z101" t="str">
        <f t="shared" si="19"/>
        <v/>
      </c>
      <c r="AA101" t="str">
        <f t="shared" si="20"/>
        <v/>
      </c>
      <c r="AB101" t="s">
        <v>601</v>
      </c>
    </row>
    <row r="102" spans="1:28">
      <c r="A102" t="s">
        <v>122</v>
      </c>
      <c r="B102" t="s">
        <v>464</v>
      </c>
      <c r="C102" t="s">
        <v>123</v>
      </c>
      <c r="D102" t="s">
        <v>326</v>
      </c>
      <c r="E102" s="2">
        <f t="shared" si="14"/>
        <v>4</v>
      </c>
      <c r="F102" t="s">
        <v>672</v>
      </c>
      <c r="G102" t="s">
        <v>673</v>
      </c>
      <c r="H102" t="s">
        <v>674</v>
      </c>
      <c r="I102" t="s">
        <v>675</v>
      </c>
      <c r="V102" t="str">
        <f t="shared" si="15"/>
        <v/>
      </c>
      <c r="W102" t="str">
        <f t="shared" si="16"/>
        <v/>
      </c>
      <c r="X102" t="str">
        <f t="shared" si="17"/>
        <v/>
      </c>
      <c r="Y102" t="str">
        <f t="shared" si="18"/>
        <v/>
      </c>
      <c r="Z102" t="str">
        <f t="shared" si="19"/>
        <v/>
      </c>
      <c r="AA102" t="str">
        <f t="shared" si="20"/>
        <v/>
      </c>
      <c r="AB102" t="s">
        <v>601</v>
      </c>
    </row>
    <row r="103" spans="1:28">
      <c r="A103" t="s">
        <v>122</v>
      </c>
      <c r="B103" t="s">
        <v>469</v>
      </c>
      <c r="C103" t="s">
        <v>123</v>
      </c>
      <c r="D103" t="s">
        <v>329</v>
      </c>
      <c r="E103" s="2">
        <f t="shared" si="14"/>
        <v>5</v>
      </c>
      <c r="F103" t="s">
        <v>602</v>
      </c>
      <c r="G103" t="s">
        <v>672</v>
      </c>
      <c r="H103" t="s">
        <v>673</v>
      </c>
      <c r="I103" t="s">
        <v>674</v>
      </c>
      <c r="J103" t="s">
        <v>675</v>
      </c>
      <c r="V103" t="str">
        <f t="shared" si="15"/>
        <v/>
      </c>
      <c r="W103" t="str">
        <f t="shared" si="16"/>
        <v/>
      </c>
      <c r="X103" t="str">
        <f t="shared" si="17"/>
        <v/>
      </c>
      <c r="Y103" t="str">
        <f t="shared" si="18"/>
        <v/>
      </c>
      <c r="Z103" t="str">
        <f t="shared" si="19"/>
        <v/>
      </c>
      <c r="AA103" t="str">
        <f t="shared" si="20"/>
        <v/>
      </c>
      <c r="AB103" t="s">
        <v>601</v>
      </c>
    </row>
    <row r="104" spans="1:28">
      <c r="A104" t="s">
        <v>124</v>
      </c>
      <c r="B104" t="s">
        <v>470</v>
      </c>
      <c r="C104" t="s">
        <v>125</v>
      </c>
      <c r="D104" t="s">
        <v>326</v>
      </c>
      <c r="E104" s="2">
        <f t="shared" si="14"/>
        <v>1</v>
      </c>
      <c r="F104" t="s">
        <v>378</v>
      </c>
      <c r="P104" t="s">
        <v>676</v>
      </c>
      <c r="Q104" t="s">
        <v>677</v>
      </c>
      <c r="R104" t="s">
        <v>678</v>
      </c>
      <c r="V104" t="str">
        <f t="shared" si="15"/>
        <v>if (p_PropertyName == "CurrentOpen") { return (myIndicatorType.CurrentOpen[p_BarsAgo]); }</v>
      </c>
      <c r="W104" t="str">
        <f t="shared" si="16"/>
        <v>if (p_PropertyName == "CurrentHigh") { return (myIndicatorType.CurrentHigh[p_BarsAgo]); }</v>
      </c>
      <c r="X104" t="str">
        <f t="shared" si="17"/>
        <v>if (p_PropertyName == "CurrentLow") { return (myIndicatorType.CurrentLow[p_BarsAgo]); }</v>
      </c>
      <c r="Y104" t="str">
        <f t="shared" si="18"/>
        <v/>
      </c>
      <c r="Z104" t="str">
        <f t="shared" si="19"/>
        <v/>
      </c>
      <c r="AA104" t="str">
        <f t="shared" si="20"/>
        <v>if (p_PropertyName == "CurrentOpen") { return (myIndicatorType.CurrentOpen[p_BarsAgo]); }if (p_PropertyName == "CurrentHigh") { return (myIndicatorType.CurrentHigh[p_BarsAgo]); }if (p_PropertyName == "CurrentLow") { return (myIndicatorType.CurrentLow[p_BarsAgo]); }</v>
      </c>
      <c r="AB104" t="s">
        <v>679</v>
      </c>
    </row>
    <row r="105" spans="1:28">
      <c r="A105" t="s">
        <v>124</v>
      </c>
      <c r="B105" t="s">
        <v>471</v>
      </c>
      <c r="C105" t="s">
        <v>125</v>
      </c>
      <c r="D105" t="s">
        <v>329</v>
      </c>
      <c r="E105" s="2">
        <f t="shared" si="14"/>
        <v>1</v>
      </c>
      <c r="F105" t="s">
        <v>602</v>
      </c>
      <c r="P105" t="s">
        <v>676</v>
      </c>
      <c r="Q105" t="s">
        <v>677</v>
      </c>
      <c r="R105" t="s">
        <v>678</v>
      </c>
      <c r="V105" t="str">
        <f t="shared" si="15"/>
        <v>if (p_PropertyName == "CurrentOpen") { return (myIndicatorType.CurrentOpen[p_BarsAgo]); }</v>
      </c>
      <c r="W105" t="str">
        <f t="shared" si="16"/>
        <v>if (p_PropertyName == "CurrentHigh") { return (myIndicatorType.CurrentHigh[p_BarsAgo]); }</v>
      </c>
      <c r="X105" t="str">
        <f t="shared" si="17"/>
        <v>if (p_PropertyName == "CurrentLow") { return (myIndicatorType.CurrentLow[p_BarsAgo]); }</v>
      </c>
      <c r="Y105" t="str">
        <f t="shared" si="18"/>
        <v/>
      </c>
      <c r="Z105" t="str">
        <f t="shared" si="19"/>
        <v/>
      </c>
      <c r="AA105" t="str">
        <f t="shared" si="20"/>
        <v>if (p_PropertyName == "CurrentOpen") { return (myIndicatorType.CurrentOpen[p_BarsAgo]); }if (p_PropertyName == "CurrentHigh") { return (myIndicatorType.CurrentHigh[p_BarsAgo]); }if (p_PropertyName == "CurrentLow") { return (myIndicatorType.CurrentLow[p_BarsAgo]); }</v>
      </c>
      <c r="AB105" t="s">
        <v>679</v>
      </c>
    </row>
    <row r="106" spans="1:28">
      <c r="A106" t="s">
        <v>126</v>
      </c>
      <c r="B106" t="s">
        <v>472</v>
      </c>
      <c r="C106" t="s">
        <v>127</v>
      </c>
      <c r="D106" t="s">
        <v>326</v>
      </c>
      <c r="E106" s="2">
        <f t="shared" si="14"/>
        <v>1</v>
      </c>
      <c r="F106" t="s">
        <v>378</v>
      </c>
      <c r="P106" t="s">
        <v>603</v>
      </c>
      <c r="Q106" t="s">
        <v>604</v>
      </c>
      <c r="V106" t="str">
        <f t="shared" si="15"/>
        <v>if (p_PropertyName == "Upper") { return (myIndicatorType.Upper[p_BarsAgo]); }</v>
      </c>
      <c r="W106" t="str">
        <f t="shared" si="16"/>
        <v>if (p_PropertyName == "Lower") { return (myIndicatorType.Lower[p_BarsAgo]); }</v>
      </c>
      <c r="X106" t="str">
        <f t="shared" si="17"/>
        <v/>
      </c>
      <c r="Y106" t="str">
        <f t="shared" si="18"/>
        <v/>
      </c>
      <c r="Z106" t="str">
        <f t="shared" si="19"/>
        <v/>
      </c>
      <c r="AA106" t="str">
        <f t="shared" si="20"/>
        <v>if (p_PropertyName == "Upper") { return (myIndicatorType.Upper[p_BarsAgo]); }if (p_PropertyName == "Lower") { return (myIndicatorType.Lower[p_BarsAgo]); }</v>
      </c>
      <c r="AB106" t="s">
        <v>605</v>
      </c>
    </row>
    <row r="107" spans="1:28">
      <c r="A107" t="s">
        <v>126</v>
      </c>
      <c r="B107" t="s">
        <v>473</v>
      </c>
      <c r="C107" t="s">
        <v>127</v>
      </c>
      <c r="D107" t="s">
        <v>329</v>
      </c>
      <c r="E107" s="2">
        <f t="shared" si="14"/>
        <v>1</v>
      </c>
      <c r="F107" t="s">
        <v>602</v>
      </c>
      <c r="P107" t="s">
        <v>603</v>
      </c>
      <c r="Q107" t="s">
        <v>604</v>
      </c>
      <c r="V107" t="str">
        <f t="shared" si="15"/>
        <v>if (p_PropertyName == "Upper") { return (myIndicatorType.Upper[p_BarsAgo]); }</v>
      </c>
      <c r="W107" t="str">
        <f t="shared" si="16"/>
        <v>if (p_PropertyName == "Lower") { return (myIndicatorType.Lower[p_BarsAgo]); }</v>
      </c>
      <c r="X107" t="str">
        <f t="shared" si="17"/>
        <v/>
      </c>
      <c r="Y107" t="str">
        <f t="shared" si="18"/>
        <v/>
      </c>
      <c r="Z107" t="str">
        <f t="shared" si="19"/>
        <v/>
      </c>
      <c r="AA107" t="str">
        <f t="shared" si="20"/>
        <v>if (p_PropertyName == "Upper") { return (myIndicatorType.Upper[p_BarsAgo]); }if (p_PropertyName == "Lower") { return (myIndicatorType.Lower[p_BarsAgo]); }</v>
      </c>
      <c r="AB107" t="s">
        <v>605</v>
      </c>
    </row>
    <row r="108" spans="1:28">
      <c r="A108" t="s">
        <v>128</v>
      </c>
      <c r="B108" t="s">
        <v>474</v>
      </c>
      <c r="C108" t="s">
        <v>129</v>
      </c>
      <c r="D108" t="s">
        <v>326</v>
      </c>
      <c r="E108" s="2">
        <f t="shared" si="14"/>
        <v>1</v>
      </c>
      <c r="F108" t="s">
        <v>600</v>
      </c>
      <c r="V108" t="str">
        <f t="shared" si="15"/>
        <v/>
      </c>
      <c r="W108" t="str">
        <f t="shared" si="16"/>
        <v/>
      </c>
      <c r="X108" t="str">
        <f t="shared" si="17"/>
        <v/>
      </c>
      <c r="Y108" t="str">
        <f t="shared" si="18"/>
        <v/>
      </c>
      <c r="Z108" t="str">
        <f t="shared" si="19"/>
        <v/>
      </c>
      <c r="AA108" t="str">
        <f t="shared" si="20"/>
        <v/>
      </c>
      <c r="AB108" t="s">
        <v>601</v>
      </c>
    </row>
    <row r="109" spans="1:28">
      <c r="A109" t="s">
        <v>128</v>
      </c>
      <c r="B109" t="s">
        <v>475</v>
      </c>
      <c r="C109" t="s">
        <v>129</v>
      </c>
      <c r="D109" t="s">
        <v>329</v>
      </c>
      <c r="E109" s="2">
        <f t="shared" si="14"/>
        <v>2</v>
      </c>
      <c r="F109" t="s">
        <v>602</v>
      </c>
      <c r="G109" t="s">
        <v>600</v>
      </c>
      <c r="V109" t="str">
        <f t="shared" si="15"/>
        <v/>
      </c>
      <c r="W109" t="str">
        <f t="shared" si="16"/>
        <v/>
      </c>
      <c r="X109" t="str">
        <f t="shared" si="17"/>
        <v/>
      </c>
      <c r="Y109" t="str">
        <f t="shared" si="18"/>
        <v/>
      </c>
      <c r="Z109" t="str">
        <f t="shared" si="19"/>
        <v/>
      </c>
      <c r="AA109" t="str">
        <f t="shared" si="20"/>
        <v/>
      </c>
      <c r="AB109" t="s">
        <v>601</v>
      </c>
    </row>
    <row r="110" spans="1:28">
      <c r="A110" t="s">
        <v>130</v>
      </c>
      <c r="B110" t="s">
        <v>476</v>
      </c>
      <c r="C110" t="s">
        <v>131</v>
      </c>
      <c r="D110" t="s">
        <v>326</v>
      </c>
      <c r="E110" s="2">
        <f t="shared" si="14"/>
        <v>1</v>
      </c>
      <c r="F110" t="s">
        <v>600</v>
      </c>
      <c r="P110" t="s">
        <v>680</v>
      </c>
      <c r="Q110" t="s">
        <v>681</v>
      </c>
      <c r="V110" t="str">
        <f t="shared" si="15"/>
        <v>if (p_PropertyName == "DiPlus") { return (myIndicatorType.DiPlus[p_BarsAgo]); }</v>
      </c>
      <c r="W110" t="str">
        <f t="shared" si="16"/>
        <v>if (p_PropertyName == "DiMinus") { return (myIndicatorType.DiMinus[p_BarsAgo]); }</v>
      </c>
      <c r="X110" t="str">
        <f t="shared" si="17"/>
        <v/>
      </c>
      <c r="Y110" t="str">
        <f t="shared" si="18"/>
        <v/>
      </c>
      <c r="Z110" t="str">
        <f t="shared" si="19"/>
        <v/>
      </c>
      <c r="AA110" t="str">
        <f t="shared" si="20"/>
        <v>if (p_PropertyName == "DiPlus") { return (myIndicatorType.DiPlus[p_BarsAgo]); }if (p_PropertyName == "DiMinus") { return (myIndicatorType.DiMinus[p_BarsAgo]); }</v>
      </c>
      <c r="AB110" t="s">
        <v>682</v>
      </c>
    </row>
    <row r="111" spans="1:28">
      <c r="A111" t="s">
        <v>130</v>
      </c>
      <c r="B111" t="s">
        <v>477</v>
      </c>
      <c r="C111" t="s">
        <v>131</v>
      </c>
      <c r="D111" t="s">
        <v>329</v>
      </c>
      <c r="E111" s="2">
        <f t="shared" si="14"/>
        <v>2</v>
      </c>
      <c r="F111" t="s">
        <v>602</v>
      </c>
      <c r="G111" t="s">
        <v>600</v>
      </c>
      <c r="P111" t="s">
        <v>680</v>
      </c>
      <c r="Q111" t="s">
        <v>681</v>
      </c>
      <c r="V111" t="str">
        <f t="shared" si="15"/>
        <v>if (p_PropertyName == "DiPlus") { return (myIndicatorType.DiPlus[p_BarsAgo]); }</v>
      </c>
      <c r="W111" t="str">
        <f t="shared" si="16"/>
        <v>if (p_PropertyName == "DiMinus") { return (myIndicatorType.DiMinus[p_BarsAgo]); }</v>
      </c>
      <c r="X111" t="str">
        <f t="shared" si="17"/>
        <v/>
      </c>
      <c r="Y111" t="str">
        <f t="shared" si="18"/>
        <v/>
      </c>
      <c r="Z111" t="str">
        <f t="shared" si="19"/>
        <v/>
      </c>
      <c r="AA111" t="str">
        <f t="shared" si="20"/>
        <v>if (p_PropertyName == "DiPlus") { return (myIndicatorType.DiPlus[p_BarsAgo]); }if (p_PropertyName == "DiMinus") { return (myIndicatorType.DiMinus[p_BarsAgo]); }</v>
      </c>
      <c r="AB111" t="s">
        <v>682</v>
      </c>
    </row>
    <row r="112" spans="1:28">
      <c r="A112" t="s">
        <v>132</v>
      </c>
      <c r="B112" t="s">
        <v>478</v>
      </c>
      <c r="C112" t="s">
        <v>133</v>
      </c>
      <c r="D112" t="s">
        <v>326</v>
      </c>
      <c r="E112" s="2">
        <f t="shared" si="14"/>
        <v>1</v>
      </c>
      <c r="F112" t="s">
        <v>600</v>
      </c>
      <c r="V112" t="str">
        <f t="shared" si="15"/>
        <v/>
      </c>
      <c r="W112" t="str">
        <f t="shared" si="16"/>
        <v/>
      </c>
      <c r="X112" t="str">
        <f t="shared" si="17"/>
        <v/>
      </c>
      <c r="Y112" t="str">
        <f t="shared" si="18"/>
        <v/>
      </c>
      <c r="Z112" t="str">
        <f t="shared" si="19"/>
        <v/>
      </c>
      <c r="AA112" t="str">
        <f t="shared" si="20"/>
        <v/>
      </c>
      <c r="AB112" t="s">
        <v>601</v>
      </c>
    </row>
    <row r="113" spans="1:28">
      <c r="A113" t="s">
        <v>132</v>
      </c>
      <c r="B113" t="s">
        <v>479</v>
      </c>
      <c r="C113" t="s">
        <v>133</v>
      </c>
      <c r="D113" t="s">
        <v>329</v>
      </c>
      <c r="E113" s="2">
        <f t="shared" si="14"/>
        <v>2</v>
      </c>
      <c r="F113" t="s">
        <v>602</v>
      </c>
      <c r="G113" t="s">
        <v>600</v>
      </c>
      <c r="V113" t="str">
        <f t="shared" si="15"/>
        <v/>
      </c>
      <c r="W113" t="str">
        <f t="shared" si="16"/>
        <v/>
      </c>
      <c r="X113" t="str">
        <f t="shared" si="17"/>
        <v/>
      </c>
      <c r="Y113" t="str">
        <f t="shared" si="18"/>
        <v/>
      </c>
      <c r="Z113" t="str">
        <f t="shared" si="19"/>
        <v/>
      </c>
      <c r="AA113" t="str">
        <f t="shared" si="20"/>
        <v/>
      </c>
      <c r="AB113" t="s">
        <v>601</v>
      </c>
    </row>
    <row r="114" spans="1:28">
      <c r="A114" t="s">
        <v>134</v>
      </c>
      <c r="B114" t="s">
        <v>480</v>
      </c>
      <c r="C114" t="s">
        <v>135</v>
      </c>
      <c r="D114" t="s">
        <v>326</v>
      </c>
      <c r="E114" s="2">
        <f t="shared" si="14"/>
        <v>1</v>
      </c>
      <c r="F114" t="s">
        <v>608</v>
      </c>
      <c r="V114" t="str">
        <f t="shared" si="15"/>
        <v/>
      </c>
      <c r="W114" t="str">
        <f t="shared" si="16"/>
        <v/>
      </c>
      <c r="X114" t="str">
        <f t="shared" si="17"/>
        <v/>
      </c>
      <c r="Y114" t="str">
        <f t="shared" si="18"/>
        <v/>
      </c>
      <c r="Z114" t="str">
        <f t="shared" si="19"/>
        <v/>
      </c>
      <c r="AA114" t="str">
        <f t="shared" si="20"/>
        <v/>
      </c>
      <c r="AB114" t="s">
        <v>601</v>
      </c>
    </row>
    <row r="115" spans="1:28">
      <c r="A115" t="s">
        <v>134</v>
      </c>
      <c r="B115" t="s">
        <v>481</v>
      </c>
      <c r="C115" t="s">
        <v>135</v>
      </c>
      <c r="D115" t="s">
        <v>329</v>
      </c>
      <c r="E115" s="2">
        <f t="shared" si="14"/>
        <v>2</v>
      </c>
      <c r="F115" t="s">
        <v>602</v>
      </c>
      <c r="G115" t="s">
        <v>608</v>
      </c>
      <c r="V115" t="str">
        <f t="shared" si="15"/>
        <v/>
      </c>
      <c r="W115" t="str">
        <f t="shared" si="16"/>
        <v/>
      </c>
      <c r="X115" t="str">
        <f t="shared" si="17"/>
        <v/>
      </c>
      <c r="Y115" t="str">
        <f t="shared" si="18"/>
        <v/>
      </c>
      <c r="Z115" t="str">
        <f t="shared" si="19"/>
        <v/>
      </c>
      <c r="AA115" t="str">
        <f t="shared" si="20"/>
        <v/>
      </c>
      <c r="AB115" t="s">
        <v>601</v>
      </c>
    </row>
    <row r="116" spans="1:28">
      <c r="A116" t="s">
        <v>136</v>
      </c>
      <c r="B116" t="s">
        <v>482</v>
      </c>
      <c r="C116" t="s">
        <v>137</v>
      </c>
      <c r="D116" t="s">
        <v>326</v>
      </c>
      <c r="E116" s="2">
        <f t="shared" si="14"/>
        <v>1</v>
      </c>
      <c r="F116" t="s">
        <v>600</v>
      </c>
      <c r="P116" t="s">
        <v>603</v>
      </c>
      <c r="Q116" t="s">
        <v>604</v>
      </c>
      <c r="V116" t="str">
        <f t="shared" si="15"/>
        <v>if (p_PropertyName == "Upper") { return (myIndicatorType.Upper[p_BarsAgo]); }</v>
      </c>
      <c r="W116" t="str">
        <f t="shared" si="16"/>
        <v>if (p_PropertyName == "Lower") { return (myIndicatorType.Lower[p_BarsAgo]); }</v>
      </c>
      <c r="X116" t="str">
        <f t="shared" si="17"/>
        <v/>
      </c>
      <c r="Y116" t="str">
        <f t="shared" si="18"/>
        <v/>
      </c>
      <c r="Z116" t="str">
        <f t="shared" si="19"/>
        <v/>
      </c>
      <c r="AA116" t="str">
        <f t="shared" si="20"/>
        <v>if (p_PropertyName == "Upper") { return (myIndicatorType.Upper[p_BarsAgo]); }if (p_PropertyName == "Lower") { return (myIndicatorType.Lower[p_BarsAgo]); }</v>
      </c>
      <c r="AB116" t="s">
        <v>605</v>
      </c>
    </row>
    <row r="117" spans="1:28">
      <c r="A117" t="s">
        <v>136</v>
      </c>
      <c r="B117" t="s">
        <v>483</v>
      </c>
      <c r="C117" t="s">
        <v>137</v>
      </c>
      <c r="D117" t="s">
        <v>329</v>
      </c>
      <c r="E117" s="2">
        <f t="shared" si="14"/>
        <v>2</v>
      </c>
      <c r="F117" t="s">
        <v>602</v>
      </c>
      <c r="G117" t="s">
        <v>600</v>
      </c>
      <c r="P117" t="s">
        <v>603</v>
      </c>
      <c r="Q117" t="s">
        <v>604</v>
      </c>
      <c r="V117" t="str">
        <f t="shared" si="15"/>
        <v>if (p_PropertyName == "Upper") { return (myIndicatorType.Upper[p_BarsAgo]); }</v>
      </c>
      <c r="W117" t="str">
        <f t="shared" si="16"/>
        <v>if (p_PropertyName == "Lower") { return (myIndicatorType.Lower[p_BarsAgo]); }</v>
      </c>
      <c r="X117" t="str">
        <f t="shared" si="17"/>
        <v/>
      </c>
      <c r="Y117" t="str">
        <f t="shared" si="18"/>
        <v/>
      </c>
      <c r="Z117" t="str">
        <f t="shared" si="19"/>
        <v/>
      </c>
      <c r="AA117" t="str">
        <f t="shared" si="20"/>
        <v>if (p_PropertyName == "Upper") { return (myIndicatorType.Upper[p_BarsAgo]); }if (p_PropertyName == "Lower") { return (myIndicatorType.Lower[p_BarsAgo]); }</v>
      </c>
      <c r="AB117" t="s">
        <v>605</v>
      </c>
    </row>
    <row r="118" spans="1:28">
      <c r="A118" t="s">
        <v>138</v>
      </c>
      <c r="B118" t="s">
        <v>484</v>
      </c>
      <c r="C118" t="s">
        <v>139</v>
      </c>
      <c r="D118" t="s">
        <v>326</v>
      </c>
      <c r="E118" s="2">
        <f t="shared" si="14"/>
        <v>1</v>
      </c>
      <c r="F118" t="s">
        <v>600</v>
      </c>
      <c r="P118" t="s">
        <v>610</v>
      </c>
      <c r="V118" t="str">
        <f t="shared" si="15"/>
        <v>if (p_PropertyName == "K") { return (myIndicatorType.K[p_BarsAgo]); }</v>
      </c>
      <c r="W118" t="str">
        <f t="shared" si="16"/>
        <v/>
      </c>
      <c r="X118" t="str">
        <f t="shared" si="17"/>
        <v/>
      </c>
      <c r="Y118" t="str">
        <f t="shared" si="18"/>
        <v/>
      </c>
      <c r="Z118" t="str">
        <f t="shared" si="19"/>
        <v/>
      </c>
      <c r="AA118" t="str">
        <f t="shared" si="20"/>
        <v>if (p_PropertyName == "K") { return (myIndicatorType.K[p_BarsAgo]); }</v>
      </c>
      <c r="AB118" t="s">
        <v>683</v>
      </c>
    </row>
    <row r="119" spans="1:28">
      <c r="A119" t="s">
        <v>138</v>
      </c>
      <c r="B119" t="s">
        <v>485</v>
      </c>
      <c r="C119" t="s">
        <v>139</v>
      </c>
      <c r="D119" t="s">
        <v>329</v>
      </c>
      <c r="E119" s="2">
        <f t="shared" si="14"/>
        <v>2</v>
      </c>
      <c r="F119" t="s">
        <v>602</v>
      </c>
      <c r="G119" t="s">
        <v>600</v>
      </c>
      <c r="P119" t="s">
        <v>610</v>
      </c>
      <c r="V119" t="str">
        <f t="shared" si="15"/>
        <v>if (p_PropertyName == "K") { return (myIndicatorType.K[p_BarsAgo]); }</v>
      </c>
      <c r="W119" t="str">
        <f t="shared" si="16"/>
        <v/>
      </c>
      <c r="X119" t="str">
        <f t="shared" si="17"/>
        <v/>
      </c>
      <c r="Y119" t="str">
        <f t="shared" si="18"/>
        <v/>
      </c>
      <c r="Z119" t="str">
        <f t="shared" si="19"/>
        <v/>
      </c>
      <c r="AA119" t="str">
        <f t="shared" si="20"/>
        <v>if (p_PropertyName == "K") { return (myIndicatorType.K[p_BarsAgo]); }</v>
      </c>
      <c r="AB119" t="s">
        <v>683</v>
      </c>
    </row>
    <row r="120" spans="1:28">
      <c r="A120" t="s">
        <v>140</v>
      </c>
      <c r="B120" t="s">
        <v>486</v>
      </c>
      <c r="C120" t="s">
        <v>141</v>
      </c>
      <c r="D120" t="s">
        <v>326</v>
      </c>
      <c r="E120" s="2">
        <f t="shared" si="14"/>
        <v>2</v>
      </c>
      <c r="F120" t="s">
        <v>684</v>
      </c>
      <c r="G120" t="s">
        <v>685</v>
      </c>
      <c r="V120" t="str">
        <f t="shared" si="15"/>
        <v/>
      </c>
      <c r="W120" t="str">
        <f t="shared" si="16"/>
        <v/>
      </c>
      <c r="X120" t="str">
        <f t="shared" si="17"/>
        <v/>
      </c>
      <c r="Y120" t="str">
        <f t="shared" si="18"/>
        <v/>
      </c>
      <c r="Z120" t="str">
        <f t="shared" si="19"/>
        <v/>
      </c>
      <c r="AA120" t="str">
        <f t="shared" si="20"/>
        <v/>
      </c>
      <c r="AB120" t="s">
        <v>601</v>
      </c>
    </row>
    <row r="121" spans="1:28">
      <c r="A121" t="s">
        <v>140</v>
      </c>
      <c r="B121" t="s">
        <v>489</v>
      </c>
      <c r="C121" t="s">
        <v>141</v>
      </c>
      <c r="D121" t="s">
        <v>329</v>
      </c>
      <c r="E121" s="2">
        <f t="shared" si="14"/>
        <v>3</v>
      </c>
      <c r="F121" t="s">
        <v>602</v>
      </c>
      <c r="G121" t="s">
        <v>684</v>
      </c>
      <c r="H121" t="s">
        <v>685</v>
      </c>
      <c r="V121" t="str">
        <f t="shared" si="15"/>
        <v/>
      </c>
      <c r="W121" t="str">
        <f t="shared" si="16"/>
        <v/>
      </c>
      <c r="X121" t="str">
        <f t="shared" si="17"/>
        <v/>
      </c>
      <c r="Y121" t="str">
        <f t="shared" si="18"/>
        <v/>
      </c>
      <c r="Z121" t="str">
        <f t="shared" si="19"/>
        <v/>
      </c>
      <c r="AA121" t="str">
        <f t="shared" si="20"/>
        <v/>
      </c>
      <c r="AB121" t="s">
        <v>601</v>
      </c>
    </row>
    <row r="122" spans="1:28">
      <c r="A122" t="s">
        <v>142</v>
      </c>
      <c r="B122" t="s">
        <v>490</v>
      </c>
      <c r="C122" t="s">
        <v>143</v>
      </c>
      <c r="D122" t="s">
        <v>326</v>
      </c>
      <c r="E122" s="2">
        <f t="shared" si="14"/>
        <v>1</v>
      </c>
      <c r="F122" t="s">
        <v>600</v>
      </c>
      <c r="V122" t="str">
        <f t="shared" si="15"/>
        <v/>
      </c>
      <c r="W122" t="str">
        <f t="shared" si="16"/>
        <v/>
      </c>
      <c r="X122" t="str">
        <f t="shared" si="17"/>
        <v/>
      </c>
      <c r="Y122" t="str">
        <f t="shared" si="18"/>
        <v/>
      </c>
      <c r="Z122" t="str">
        <f t="shared" si="19"/>
        <v/>
      </c>
      <c r="AA122" t="str">
        <f t="shared" si="20"/>
        <v/>
      </c>
      <c r="AB122" t="s">
        <v>601</v>
      </c>
    </row>
    <row r="123" spans="1:28">
      <c r="A123" t="s">
        <v>142</v>
      </c>
      <c r="B123" t="s">
        <v>491</v>
      </c>
      <c r="C123" t="s">
        <v>143</v>
      </c>
      <c r="D123" t="s">
        <v>329</v>
      </c>
      <c r="E123" s="2">
        <f t="shared" si="14"/>
        <v>2</v>
      </c>
      <c r="F123" t="s">
        <v>602</v>
      </c>
      <c r="G123" t="s">
        <v>600</v>
      </c>
      <c r="V123" t="str">
        <f t="shared" si="15"/>
        <v/>
      </c>
      <c r="W123" t="str">
        <f t="shared" si="16"/>
        <v/>
      </c>
      <c r="X123" t="str">
        <f t="shared" si="17"/>
        <v/>
      </c>
      <c r="Y123" t="str">
        <f t="shared" si="18"/>
        <v/>
      </c>
      <c r="Z123" t="str">
        <f t="shared" si="19"/>
        <v/>
      </c>
      <c r="AA123" t="str">
        <f t="shared" si="20"/>
        <v/>
      </c>
      <c r="AB123" t="s">
        <v>601</v>
      </c>
    </row>
    <row r="124" spans="1:28">
      <c r="A124" t="s">
        <v>144</v>
      </c>
      <c r="B124" t="s">
        <v>492</v>
      </c>
      <c r="C124" t="s">
        <v>145</v>
      </c>
      <c r="D124" t="s">
        <v>326</v>
      </c>
      <c r="E124" s="2">
        <f t="shared" si="14"/>
        <v>1</v>
      </c>
      <c r="F124" t="s">
        <v>600</v>
      </c>
      <c r="V124" t="str">
        <f t="shared" si="15"/>
        <v/>
      </c>
      <c r="W124" t="str">
        <f t="shared" si="16"/>
        <v/>
      </c>
      <c r="X124" t="str">
        <f t="shared" si="17"/>
        <v/>
      </c>
      <c r="Y124" t="str">
        <f t="shared" si="18"/>
        <v/>
      </c>
      <c r="Z124" t="str">
        <f t="shared" si="19"/>
        <v/>
      </c>
      <c r="AA124" t="str">
        <f t="shared" si="20"/>
        <v/>
      </c>
      <c r="AB124" t="s">
        <v>601</v>
      </c>
    </row>
    <row r="125" spans="1:28">
      <c r="A125" t="s">
        <v>144</v>
      </c>
      <c r="B125" t="s">
        <v>493</v>
      </c>
      <c r="C125" t="s">
        <v>145</v>
      </c>
      <c r="D125" t="s">
        <v>329</v>
      </c>
      <c r="E125" s="2">
        <f t="shared" si="14"/>
        <v>2</v>
      </c>
      <c r="F125" t="s">
        <v>602</v>
      </c>
      <c r="G125" t="s">
        <v>600</v>
      </c>
      <c r="V125" t="str">
        <f t="shared" si="15"/>
        <v/>
      </c>
      <c r="W125" t="str">
        <f t="shared" si="16"/>
        <v/>
      </c>
      <c r="X125" t="str">
        <f t="shared" si="17"/>
        <v/>
      </c>
      <c r="Y125" t="str">
        <f t="shared" si="18"/>
        <v/>
      </c>
      <c r="Z125" t="str">
        <f t="shared" si="19"/>
        <v/>
      </c>
      <c r="AA125" t="str">
        <f t="shared" si="20"/>
        <v/>
      </c>
      <c r="AB125" t="s">
        <v>601</v>
      </c>
    </row>
    <row r="126" spans="1:28">
      <c r="A126" t="s">
        <v>146</v>
      </c>
      <c r="B126" t="s">
        <v>494</v>
      </c>
      <c r="C126" t="s">
        <v>147</v>
      </c>
      <c r="D126" t="s">
        <v>326</v>
      </c>
      <c r="E126" s="2">
        <f t="shared" si="14"/>
        <v>1</v>
      </c>
      <c r="F126" t="s">
        <v>600</v>
      </c>
      <c r="V126" t="str">
        <f t="shared" si="15"/>
        <v/>
      </c>
      <c r="W126" t="str">
        <f t="shared" si="16"/>
        <v/>
      </c>
      <c r="X126" t="str">
        <f t="shared" si="17"/>
        <v/>
      </c>
      <c r="Y126" t="str">
        <f t="shared" si="18"/>
        <v/>
      </c>
      <c r="Z126" t="str">
        <f t="shared" si="19"/>
        <v/>
      </c>
      <c r="AA126" t="str">
        <f t="shared" si="20"/>
        <v/>
      </c>
      <c r="AB126" t="s">
        <v>601</v>
      </c>
    </row>
    <row r="127" spans="1:28">
      <c r="A127" t="s">
        <v>146</v>
      </c>
      <c r="B127" t="s">
        <v>495</v>
      </c>
      <c r="C127" t="s">
        <v>147</v>
      </c>
      <c r="D127" t="s">
        <v>329</v>
      </c>
      <c r="E127" s="2">
        <f t="shared" si="14"/>
        <v>2</v>
      </c>
      <c r="F127" t="s">
        <v>602</v>
      </c>
      <c r="G127" t="s">
        <v>600</v>
      </c>
      <c r="V127" t="str">
        <f t="shared" si="15"/>
        <v/>
      </c>
      <c r="W127" t="str">
        <f t="shared" si="16"/>
        <v/>
      </c>
      <c r="X127" t="str">
        <f t="shared" si="17"/>
        <v/>
      </c>
      <c r="Y127" t="str">
        <f t="shared" si="18"/>
        <v/>
      </c>
      <c r="Z127" t="str">
        <f t="shared" si="19"/>
        <v/>
      </c>
      <c r="AA127" t="str">
        <f t="shared" si="20"/>
        <v/>
      </c>
      <c r="AB127" t="s">
        <v>601</v>
      </c>
    </row>
    <row r="128" spans="1:28">
      <c r="A128" t="s">
        <v>148</v>
      </c>
      <c r="B128" t="s">
        <v>496</v>
      </c>
      <c r="C128" t="s">
        <v>149</v>
      </c>
      <c r="D128" t="s">
        <v>326</v>
      </c>
      <c r="E128" s="2">
        <f t="shared" si="14"/>
        <v>1</v>
      </c>
      <c r="F128" t="s">
        <v>600</v>
      </c>
      <c r="V128" t="str">
        <f t="shared" si="15"/>
        <v/>
      </c>
      <c r="W128" t="str">
        <f t="shared" si="16"/>
        <v/>
      </c>
      <c r="X128" t="str">
        <f t="shared" si="17"/>
        <v/>
      </c>
      <c r="Y128" t="str">
        <f t="shared" si="18"/>
        <v/>
      </c>
      <c r="Z128" t="str">
        <f t="shared" si="19"/>
        <v/>
      </c>
      <c r="AA128" t="str">
        <f t="shared" si="20"/>
        <v/>
      </c>
      <c r="AB128" t="s">
        <v>601</v>
      </c>
    </row>
    <row r="129" spans="1:28">
      <c r="A129" t="s">
        <v>148</v>
      </c>
      <c r="B129" t="s">
        <v>497</v>
      </c>
      <c r="C129" t="s">
        <v>149</v>
      </c>
      <c r="D129" t="s">
        <v>329</v>
      </c>
      <c r="E129" s="2">
        <f t="shared" si="14"/>
        <v>2</v>
      </c>
      <c r="F129" t="s">
        <v>602</v>
      </c>
      <c r="G129" t="s">
        <v>600</v>
      </c>
      <c r="V129" t="str">
        <f t="shared" si="15"/>
        <v/>
      </c>
      <c r="W129" t="str">
        <f t="shared" si="16"/>
        <v/>
      </c>
      <c r="X129" t="str">
        <f t="shared" si="17"/>
        <v/>
      </c>
      <c r="Y129" t="str">
        <f t="shared" si="18"/>
        <v/>
      </c>
      <c r="Z129" t="str">
        <f t="shared" si="19"/>
        <v/>
      </c>
      <c r="AA129" t="str">
        <f t="shared" si="20"/>
        <v/>
      </c>
      <c r="AB129" t="s">
        <v>601</v>
      </c>
    </row>
    <row r="130" spans="1:28">
      <c r="A130" t="s">
        <v>150</v>
      </c>
      <c r="B130" t="s">
        <v>498</v>
      </c>
      <c r="C130" t="s">
        <v>151</v>
      </c>
      <c r="D130" t="s">
        <v>326</v>
      </c>
      <c r="E130" s="2">
        <f t="shared" si="14"/>
        <v>3</v>
      </c>
      <c r="F130" t="s">
        <v>626</v>
      </c>
      <c r="G130" t="s">
        <v>600</v>
      </c>
      <c r="H130" t="s">
        <v>627</v>
      </c>
      <c r="V130" t="str">
        <f t="shared" si="15"/>
        <v/>
      </c>
      <c r="W130" t="str">
        <f t="shared" si="16"/>
        <v/>
      </c>
      <c r="X130" t="str">
        <f t="shared" si="17"/>
        <v/>
      </c>
      <c r="Y130" t="str">
        <f t="shared" si="18"/>
        <v/>
      </c>
      <c r="Z130" t="str">
        <f t="shared" si="19"/>
        <v/>
      </c>
      <c r="AA130" t="str">
        <f t="shared" si="20"/>
        <v/>
      </c>
      <c r="AB130" t="s">
        <v>601</v>
      </c>
    </row>
    <row r="131" spans="1:28">
      <c r="A131" t="s">
        <v>150</v>
      </c>
      <c r="B131" t="s">
        <v>499</v>
      </c>
      <c r="C131" t="s">
        <v>151</v>
      </c>
      <c r="D131" t="s">
        <v>329</v>
      </c>
      <c r="E131" s="2">
        <f t="shared" ref="E131:E193" si="21">COUNTA(F131:O131)</f>
        <v>4</v>
      </c>
      <c r="F131" t="s">
        <v>602</v>
      </c>
      <c r="G131" t="s">
        <v>626</v>
      </c>
      <c r="H131" t="s">
        <v>600</v>
      </c>
      <c r="I131" t="s">
        <v>627</v>
      </c>
      <c r="V131" t="str">
        <f t="shared" si="15"/>
        <v/>
      </c>
      <c r="W131" t="str">
        <f t="shared" si="16"/>
        <v/>
      </c>
      <c r="X131" t="str">
        <f t="shared" si="17"/>
        <v/>
      </c>
      <c r="Y131" t="str">
        <f t="shared" si="18"/>
        <v/>
      </c>
      <c r="Z131" t="str">
        <f t="shared" si="19"/>
        <v/>
      </c>
      <c r="AA131" t="str">
        <f t="shared" si="20"/>
        <v/>
      </c>
      <c r="AB131" t="s">
        <v>601</v>
      </c>
    </row>
    <row r="132" spans="1:28">
      <c r="A132" t="s">
        <v>152</v>
      </c>
      <c r="B132" t="s">
        <v>500</v>
      </c>
      <c r="C132" t="s">
        <v>153</v>
      </c>
      <c r="D132" t="s">
        <v>326</v>
      </c>
      <c r="E132" s="2">
        <f t="shared" si="21"/>
        <v>2</v>
      </c>
      <c r="F132" t="s">
        <v>686</v>
      </c>
      <c r="G132" t="s">
        <v>600</v>
      </c>
      <c r="P132" t="s">
        <v>603</v>
      </c>
      <c r="Q132" t="s">
        <v>604</v>
      </c>
      <c r="V132" t="str">
        <f t="shared" si="15"/>
        <v>if (p_PropertyName == "Upper") { return (myIndicatorType.Upper[p_BarsAgo]); }</v>
      </c>
      <c r="W132" t="str">
        <f t="shared" si="16"/>
        <v>if (p_PropertyName == "Lower") { return (myIndicatorType.Lower[p_BarsAgo]); }</v>
      </c>
      <c r="X132" t="str">
        <f t="shared" si="17"/>
        <v/>
      </c>
      <c r="Y132" t="str">
        <f t="shared" si="18"/>
        <v/>
      </c>
      <c r="Z132" t="str">
        <f t="shared" si="19"/>
        <v/>
      </c>
      <c r="AA132" t="str">
        <f t="shared" si="20"/>
        <v>if (p_PropertyName == "Upper") { return (myIndicatorType.Upper[p_BarsAgo]); }if (p_PropertyName == "Lower") { return (myIndicatorType.Lower[p_BarsAgo]); }</v>
      </c>
      <c r="AB132" t="s">
        <v>605</v>
      </c>
    </row>
    <row r="133" spans="1:28">
      <c r="A133" t="s">
        <v>152</v>
      </c>
      <c r="B133" t="s">
        <v>502</v>
      </c>
      <c r="C133" t="s">
        <v>153</v>
      </c>
      <c r="D133" t="s">
        <v>329</v>
      </c>
      <c r="E133" s="2">
        <f t="shared" si="21"/>
        <v>3</v>
      </c>
      <c r="F133" t="s">
        <v>602</v>
      </c>
      <c r="G133" t="s">
        <v>686</v>
      </c>
      <c r="H133" t="s">
        <v>600</v>
      </c>
      <c r="P133" t="s">
        <v>603</v>
      </c>
      <c r="Q133" t="s">
        <v>604</v>
      </c>
      <c r="V133" t="str">
        <f t="shared" si="15"/>
        <v>if (p_PropertyName == "Upper") { return (myIndicatorType.Upper[p_BarsAgo]); }</v>
      </c>
      <c r="W133" t="str">
        <f t="shared" si="16"/>
        <v>if (p_PropertyName == "Lower") { return (myIndicatorType.Lower[p_BarsAgo]); }</v>
      </c>
      <c r="X133" t="str">
        <f t="shared" si="17"/>
        <v/>
      </c>
      <c r="Y133" t="str">
        <f t="shared" si="18"/>
        <v/>
      </c>
      <c r="Z133" t="str">
        <f t="shared" si="19"/>
        <v/>
      </c>
      <c r="AA133" t="str">
        <f t="shared" si="20"/>
        <v>if (p_PropertyName == "Upper") { return (myIndicatorType.Upper[p_BarsAgo]); }if (p_PropertyName == "Lower") { return (myIndicatorType.Lower[p_BarsAgo]); }</v>
      </c>
      <c r="AB133" t="s">
        <v>605</v>
      </c>
    </row>
    <row r="134" spans="1:28">
      <c r="A134" t="s">
        <v>154</v>
      </c>
      <c r="B134" t="s">
        <v>503</v>
      </c>
      <c r="C134" t="s">
        <v>155</v>
      </c>
      <c r="D134" t="s">
        <v>326</v>
      </c>
      <c r="E134" s="2">
        <f t="shared" si="21"/>
        <v>1</v>
      </c>
      <c r="F134" t="s">
        <v>600</v>
      </c>
      <c r="V134" t="str">
        <f t="shared" si="15"/>
        <v/>
      </c>
      <c r="W134" t="str">
        <f t="shared" si="16"/>
        <v/>
      </c>
      <c r="X134" t="str">
        <f t="shared" si="17"/>
        <v/>
      </c>
      <c r="Y134" t="str">
        <f t="shared" si="18"/>
        <v/>
      </c>
      <c r="Z134" t="str">
        <f t="shared" si="19"/>
        <v/>
      </c>
      <c r="AA134" t="str">
        <f t="shared" si="20"/>
        <v/>
      </c>
      <c r="AB134" t="s">
        <v>601</v>
      </c>
    </row>
    <row r="135" spans="1:28">
      <c r="A135" t="s">
        <v>154</v>
      </c>
      <c r="B135" t="s">
        <v>504</v>
      </c>
      <c r="C135" t="s">
        <v>155</v>
      </c>
      <c r="D135" t="s">
        <v>329</v>
      </c>
      <c r="E135" s="2">
        <f t="shared" si="21"/>
        <v>2</v>
      </c>
      <c r="F135" t="s">
        <v>602</v>
      </c>
      <c r="G135" t="s">
        <v>600</v>
      </c>
      <c r="V135" t="str">
        <f t="shared" ref="V135:V193" si="22">IF(P135&lt;&gt;0,$V$1&amp;P135&amp;$W$1&amp;P135&amp;$X$1,"")</f>
        <v/>
      </c>
      <c r="W135" t="str">
        <f t="shared" ref="W135:W193" si="23">IF(Q135&lt;&gt;0,$V$1&amp;Q135&amp;$W$1&amp;Q135&amp;$X$1,"")</f>
        <v/>
      </c>
      <c r="X135" t="str">
        <f t="shared" ref="X135:X193" si="24">IF(R135&lt;&gt;0,$V$1&amp;R135&amp;$W$1&amp;R135&amp;$X$1,"")</f>
        <v/>
      </c>
      <c r="Y135" t="str">
        <f t="shared" ref="Y135:Y193" si="25">IF(S135&lt;&gt;0,$V$1&amp;S135&amp;$W$1&amp;S135&amp;$X$1,"")</f>
        <v/>
      </c>
      <c r="Z135" t="str">
        <f t="shared" ref="Z135:Z193" si="26">IF(T135&lt;&gt;0,$V$1&amp;T135&amp;$W$1&amp;T135&amp;$X$1,"")</f>
        <v/>
      </c>
      <c r="AA135" t="str">
        <f t="shared" ref="AA135:AA193" si="27">V135&amp;W135&amp;X135&amp;Y135&amp;Z135</f>
        <v/>
      </c>
      <c r="AB135" t="s">
        <v>601</v>
      </c>
    </row>
    <row r="136" spans="1:28">
      <c r="A136" t="s">
        <v>156</v>
      </c>
      <c r="B136" t="s">
        <v>505</v>
      </c>
      <c r="C136" t="s">
        <v>157</v>
      </c>
      <c r="D136" t="s">
        <v>326</v>
      </c>
      <c r="E136" s="2">
        <f t="shared" si="21"/>
        <v>1</v>
      </c>
      <c r="F136" t="s">
        <v>600</v>
      </c>
      <c r="V136" t="str">
        <f t="shared" si="22"/>
        <v/>
      </c>
      <c r="W136" t="str">
        <f t="shared" si="23"/>
        <v/>
      </c>
      <c r="X136" t="str">
        <f t="shared" si="24"/>
        <v/>
      </c>
      <c r="Y136" t="str">
        <f t="shared" si="25"/>
        <v/>
      </c>
      <c r="Z136" t="str">
        <f t="shared" si="26"/>
        <v/>
      </c>
      <c r="AA136" t="str">
        <f t="shared" si="27"/>
        <v/>
      </c>
      <c r="AB136" t="s">
        <v>601</v>
      </c>
    </row>
    <row r="137" spans="1:28">
      <c r="A137" t="s">
        <v>156</v>
      </c>
      <c r="B137" t="s">
        <v>506</v>
      </c>
      <c r="C137" t="s">
        <v>157</v>
      </c>
      <c r="D137" t="s">
        <v>329</v>
      </c>
      <c r="E137" s="2">
        <f t="shared" si="21"/>
        <v>2</v>
      </c>
      <c r="F137" t="s">
        <v>602</v>
      </c>
      <c r="G137" t="s">
        <v>600</v>
      </c>
      <c r="V137" t="str">
        <f t="shared" si="22"/>
        <v/>
      </c>
      <c r="W137" t="str">
        <f t="shared" si="23"/>
        <v/>
      </c>
      <c r="X137" t="str">
        <f t="shared" si="24"/>
        <v/>
      </c>
      <c r="Y137" t="str">
        <f t="shared" si="25"/>
        <v/>
      </c>
      <c r="Z137" t="str">
        <f t="shared" si="26"/>
        <v/>
      </c>
      <c r="AA137" t="str">
        <f t="shared" si="27"/>
        <v/>
      </c>
      <c r="AB137" t="s">
        <v>601</v>
      </c>
    </row>
    <row r="138" spans="1:28">
      <c r="A138" t="s">
        <v>158</v>
      </c>
      <c r="B138" t="s">
        <v>507</v>
      </c>
      <c r="C138" t="s">
        <v>159</v>
      </c>
      <c r="D138" t="s">
        <v>326</v>
      </c>
      <c r="E138" s="2">
        <f t="shared" si="21"/>
        <v>1</v>
      </c>
      <c r="F138" t="s">
        <v>600</v>
      </c>
      <c r="V138" t="str">
        <f t="shared" si="22"/>
        <v/>
      </c>
      <c r="W138" t="str">
        <f t="shared" si="23"/>
        <v/>
      </c>
      <c r="X138" t="str">
        <f t="shared" si="24"/>
        <v/>
      </c>
      <c r="Y138" t="str">
        <f t="shared" si="25"/>
        <v/>
      </c>
      <c r="Z138" t="str">
        <f t="shared" si="26"/>
        <v/>
      </c>
      <c r="AA138" t="str">
        <f t="shared" si="27"/>
        <v/>
      </c>
      <c r="AB138" t="s">
        <v>601</v>
      </c>
    </row>
    <row r="139" spans="1:28">
      <c r="A139" t="s">
        <v>158</v>
      </c>
      <c r="B139" t="s">
        <v>508</v>
      </c>
      <c r="C139" t="s">
        <v>159</v>
      </c>
      <c r="D139" t="s">
        <v>329</v>
      </c>
      <c r="E139" s="2">
        <f t="shared" si="21"/>
        <v>2</v>
      </c>
      <c r="F139" t="s">
        <v>602</v>
      </c>
      <c r="G139" t="s">
        <v>600</v>
      </c>
      <c r="V139" t="str">
        <f t="shared" si="22"/>
        <v/>
      </c>
      <c r="W139" t="str">
        <f t="shared" si="23"/>
        <v/>
      </c>
      <c r="X139" t="str">
        <f t="shared" si="24"/>
        <v/>
      </c>
      <c r="Y139" t="str">
        <f t="shared" si="25"/>
        <v/>
      </c>
      <c r="Z139" t="str">
        <f t="shared" si="26"/>
        <v/>
      </c>
      <c r="AA139" t="str">
        <f t="shared" si="27"/>
        <v/>
      </c>
      <c r="AB139" t="s">
        <v>601</v>
      </c>
    </row>
    <row r="140" spans="1:28">
      <c r="A140" t="s">
        <v>160</v>
      </c>
      <c r="B140" t="s">
        <v>509</v>
      </c>
      <c r="C140" t="s">
        <v>161</v>
      </c>
      <c r="D140" t="s">
        <v>326</v>
      </c>
      <c r="E140" s="2">
        <f t="shared" si="21"/>
        <v>1</v>
      </c>
      <c r="F140" t="s">
        <v>600</v>
      </c>
      <c r="V140" t="str">
        <f t="shared" si="22"/>
        <v/>
      </c>
      <c r="W140" t="str">
        <f t="shared" si="23"/>
        <v/>
      </c>
      <c r="X140" t="str">
        <f t="shared" si="24"/>
        <v/>
      </c>
      <c r="Y140" t="str">
        <f t="shared" si="25"/>
        <v/>
      </c>
      <c r="Z140" t="str">
        <f t="shared" si="26"/>
        <v/>
      </c>
      <c r="AA140" t="str">
        <f t="shared" si="27"/>
        <v/>
      </c>
      <c r="AB140" t="s">
        <v>601</v>
      </c>
    </row>
    <row r="141" spans="1:28">
      <c r="A141" t="s">
        <v>160</v>
      </c>
      <c r="B141" t="s">
        <v>510</v>
      </c>
      <c r="C141" t="s">
        <v>161</v>
      </c>
      <c r="D141" t="s">
        <v>329</v>
      </c>
      <c r="E141" s="2">
        <f t="shared" si="21"/>
        <v>2</v>
      </c>
      <c r="F141" t="s">
        <v>602</v>
      </c>
      <c r="G141" t="s">
        <v>600</v>
      </c>
      <c r="V141" t="str">
        <f t="shared" si="22"/>
        <v/>
      </c>
      <c r="W141" t="str">
        <f t="shared" si="23"/>
        <v/>
      </c>
      <c r="X141" t="str">
        <f t="shared" si="24"/>
        <v/>
      </c>
      <c r="Y141" t="str">
        <f t="shared" si="25"/>
        <v/>
      </c>
      <c r="Z141" t="str">
        <f t="shared" si="26"/>
        <v/>
      </c>
      <c r="AA141" t="str">
        <f t="shared" si="27"/>
        <v/>
      </c>
      <c r="AB141" t="s">
        <v>601</v>
      </c>
    </row>
    <row r="142" spans="1:28">
      <c r="A142" t="s">
        <v>162</v>
      </c>
      <c r="B142" t="s">
        <v>511</v>
      </c>
      <c r="C142" t="s">
        <v>163</v>
      </c>
      <c r="D142" t="s">
        <v>326</v>
      </c>
      <c r="E142" s="2">
        <f t="shared" si="21"/>
        <v>1</v>
      </c>
      <c r="F142" t="s">
        <v>600</v>
      </c>
      <c r="V142" t="str">
        <f t="shared" si="22"/>
        <v/>
      </c>
      <c r="W142" t="str">
        <f t="shared" si="23"/>
        <v/>
      </c>
      <c r="X142" t="str">
        <f t="shared" si="24"/>
        <v/>
      </c>
      <c r="Y142" t="str">
        <f t="shared" si="25"/>
        <v/>
      </c>
      <c r="Z142" t="str">
        <f t="shared" si="26"/>
        <v/>
      </c>
      <c r="AA142" t="str">
        <f t="shared" si="27"/>
        <v/>
      </c>
      <c r="AB142" t="s">
        <v>601</v>
      </c>
    </row>
    <row r="143" spans="1:28">
      <c r="A143" t="s">
        <v>162</v>
      </c>
      <c r="B143" t="s">
        <v>512</v>
      </c>
      <c r="C143" t="s">
        <v>163</v>
      </c>
      <c r="D143" t="s">
        <v>329</v>
      </c>
      <c r="E143" s="2">
        <f t="shared" si="21"/>
        <v>2</v>
      </c>
      <c r="F143" t="s">
        <v>602</v>
      </c>
      <c r="G143" t="s">
        <v>600</v>
      </c>
      <c r="V143" t="str">
        <f t="shared" si="22"/>
        <v/>
      </c>
      <c r="W143" t="str">
        <f t="shared" si="23"/>
        <v/>
      </c>
      <c r="X143" t="str">
        <f t="shared" si="24"/>
        <v/>
      </c>
      <c r="Y143" t="str">
        <f t="shared" si="25"/>
        <v/>
      </c>
      <c r="Z143" t="str">
        <f t="shared" si="26"/>
        <v/>
      </c>
      <c r="AA143" t="str">
        <f t="shared" si="27"/>
        <v/>
      </c>
      <c r="AB143" t="s">
        <v>601</v>
      </c>
    </row>
    <row r="144" spans="1:28">
      <c r="A144" t="s">
        <v>164</v>
      </c>
      <c r="B144" t="s">
        <v>513</v>
      </c>
      <c r="C144" t="s">
        <v>165</v>
      </c>
      <c r="D144" t="s">
        <v>326</v>
      </c>
      <c r="E144" s="2">
        <f t="shared" si="21"/>
        <v>3</v>
      </c>
      <c r="F144" t="s">
        <v>626</v>
      </c>
      <c r="G144" t="s">
        <v>627</v>
      </c>
      <c r="H144" t="s">
        <v>608</v>
      </c>
      <c r="P144" t="s">
        <v>687</v>
      </c>
      <c r="Q144" t="s">
        <v>688</v>
      </c>
      <c r="V144" t="str">
        <f t="shared" si="22"/>
        <v>if (p_PropertyName == "Diff") { return (myIndicatorType.Diff[p_BarsAgo]); }</v>
      </c>
      <c r="W144" t="str">
        <f t="shared" si="23"/>
        <v>if (p_PropertyName == "Avg") { return (myIndicatorType.Avg[p_BarsAgo]); }</v>
      </c>
      <c r="X144" t="str">
        <f t="shared" si="24"/>
        <v/>
      </c>
      <c r="Y144" t="str">
        <f t="shared" si="25"/>
        <v/>
      </c>
      <c r="Z144" t="str">
        <f t="shared" si="26"/>
        <v/>
      </c>
      <c r="AA144" t="str">
        <f t="shared" si="27"/>
        <v>if (p_PropertyName == "Diff") { return (myIndicatorType.Diff[p_BarsAgo]); }if (p_PropertyName == "Avg") { return (myIndicatorType.Avg[p_BarsAgo]); }</v>
      </c>
      <c r="AB144" t="s">
        <v>689</v>
      </c>
    </row>
    <row r="145" spans="1:28">
      <c r="A145" t="s">
        <v>164</v>
      </c>
      <c r="B145" t="s">
        <v>514</v>
      </c>
      <c r="C145" t="s">
        <v>165</v>
      </c>
      <c r="D145" t="s">
        <v>329</v>
      </c>
      <c r="E145" s="2">
        <f t="shared" si="21"/>
        <v>4</v>
      </c>
      <c r="F145" t="s">
        <v>602</v>
      </c>
      <c r="G145" t="s">
        <v>626</v>
      </c>
      <c r="H145" t="s">
        <v>627</v>
      </c>
      <c r="I145" t="s">
        <v>608</v>
      </c>
      <c r="P145" t="s">
        <v>687</v>
      </c>
      <c r="Q145" t="s">
        <v>688</v>
      </c>
      <c r="V145" t="str">
        <f t="shared" si="22"/>
        <v>if (p_PropertyName == "Diff") { return (myIndicatorType.Diff[p_BarsAgo]); }</v>
      </c>
      <c r="W145" t="str">
        <f t="shared" si="23"/>
        <v>if (p_PropertyName == "Avg") { return (myIndicatorType.Avg[p_BarsAgo]); }</v>
      </c>
      <c r="X145" t="str">
        <f t="shared" si="24"/>
        <v/>
      </c>
      <c r="Y145" t="str">
        <f t="shared" si="25"/>
        <v/>
      </c>
      <c r="Z145" t="str">
        <f t="shared" si="26"/>
        <v/>
      </c>
      <c r="AA145" t="str">
        <f t="shared" si="27"/>
        <v>if (p_PropertyName == "Diff") { return (myIndicatorType.Diff[p_BarsAgo]); }if (p_PropertyName == "Avg") { return (myIndicatorType.Avg[p_BarsAgo]); }</v>
      </c>
      <c r="AB145" t="s">
        <v>689</v>
      </c>
    </row>
    <row r="146" spans="1:28">
      <c r="A146" t="s">
        <v>166</v>
      </c>
      <c r="B146" t="s">
        <v>515</v>
      </c>
      <c r="C146" t="s">
        <v>167</v>
      </c>
      <c r="D146" t="s">
        <v>326</v>
      </c>
      <c r="E146" s="2">
        <f t="shared" si="21"/>
        <v>3</v>
      </c>
      <c r="F146" t="s">
        <v>690</v>
      </c>
      <c r="G146" t="s">
        <v>691</v>
      </c>
      <c r="H146" t="s">
        <v>600</v>
      </c>
      <c r="P146" t="s">
        <v>603</v>
      </c>
      <c r="Q146" t="s">
        <v>692</v>
      </c>
      <c r="R146" t="s">
        <v>604</v>
      </c>
      <c r="V146" t="str">
        <f t="shared" si="22"/>
        <v>if (p_PropertyName == "Upper") { return (myIndicatorType.Upper[p_BarsAgo]); }</v>
      </c>
      <c r="W146" t="str">
        <f t="shared" si="23"/>
        <v>if (p_PropertyName == "Middle") { return (myIndicatorType.Middle[p_BarsAgo]); }</v>
      </c>
      <c r="X146" t="str">
        <f t="shared" si="24"/>
        <v>if (p_PropertyName == "Lower") { return (myIndicatorType.Lower[p_BarsAgo]); }</v>
      </c>
      <c r="Y146" t="str">
        <f t="shared" si="25"/>
        <v/>
      </c>
      <c r="Z146" t="str">
        <f t="shared" si="26"/>
        <v/>
      </c>
      <c r="AA146" t="str">
        <f t="shared" si="27"/>
        <v>if (p_PropertyName == "Upper") { return (myIndicatorType.Upper[p_BarsAgo]); }if (p_PropertyName == "Middle") { return (myIndicatorType.Middle[p_BarsAgo]); }if (p_PropertyName == "Lower") { return (myIndicatorType.Lower[p_BarsAgo]); }</v>
      </c>
      <c r="AB146" t="s">
        <v>693</v>
      </c>
    </row>
    <row r="147" spans="1:28">
      <c r="A147" t="s">
        <v>166</v>
      </c>
      <c r="B147" t="s">
        <v>518</v>
      </c>
      <c r="C147" t="s">
        <v>167</v>
      </c>
      <c r="D147" t="s">
        <v>329</v>
      </c>
      <c r="E147" s="2">
        <f t="shared" si="21"/>
        <v>4</v>
      </c>
      <c r="F147" t="s">
        <v>602</v>
      </c>
      <c r="G147" t="s">
        <v>690</v>
      </c>
      <c r="H147" t="s">
        <v>691</v>
      </c>
      <c r="I147" t="s">
        <v>600</v>
      </c>
      <c r="P147" t="s">
        <v>603</v>
      </c>
      <c r="Q147" t="s">
        <v>692</v>
      </c>
      <c r="R147" t="s">
        <v>604</v>
      </c>
      <c r="V147" t="str">
        <f t="shared" si="22"/>
        <v>if (p_PropertyName == "Upper") { return (myIndicatorType.Upper[p_BarsAgo]); }</v>
      </c>
      <c r="W147" t="str">
        <f t="shared" si="23"/>
        <v>if (p_PropertyName == "Middle") { return (myIndicatorType.Middle[p_BarsAgo]); }</v>
      </c>
      <c r="X147" t="str">
        <f t="shared" si="24"/>
        <v>if (p_PropertyName == "Lower") { return (myIndicatorType.Lower[p_BarsAgo]); }</v>
      </c>
      <c r="Y147" t="str">
        <f t="shared" si="25"/>
        <v/>
      </c>
      <c r="Z147" t="str">
        <f t="shared" si="26"/>
        <v/>
      </c>
      <c r="AA147" t="str">
        <f t="shared" si="27"/>
        <v>if (p_PropertyName == "Upper") { return (myIndicatorType.Upper[p_BarsAgo]); }if (p_PropertyName == "Middle") { return (myIndicatorType.Middle[p_BarsAgo]); }if (p_PropertyName == "Lower") { return (myIndicatorType.Lower[p_BarsAgo]); }</v>
      </c>
      <c r="AB147" t="s">
        <v>693</v>
      </c>
    </row>
    <row r="148" spans="1:28">
      <c r="A148" t="s">
        <v>168</v>
      </c>
      <c r="B148" t="s">
        <v>519</v>
      </c>
      <c r="C148" t="s">
        <v>169</v>
      </c>
      <c r="D148" t="s">
        <v>326</v>
      </c>
      <c r="E148" s="2">
        <f t="shared" si="21"/>
        <v>2</v>
      </c>
      <c r="F148" t="s">
        <v>694</v>
      </c>
      <c r="G148" t="s">
        <v>695</v>
      </c>
      <c r="P148" t="s">
        <v>696</v>
      </c>
      <c r="V148" t="str">
        <f t="shared" si="22"/>
        <v>if (p_PropertyName == "Fama") { return (myIndicatorType.Fama[p_BarsAgo]); }</v>
      </c>
      <c r="W148" t="str">
        <f t="shared" si="23"/>
        <v/>
      </c>
      <c r="X148" t="str">
        <f t="shared" si="24"/>
        <v/>
      </c>
      <c r="Y148" t="str">
        <f t="shared" si="25"/>
        <v/>
      </c>
      <c r="Z148" t="str">
        <f t="shared" si="26"/>
        <v/>
      </c>
      <c r="AA148" t="str">
        <f t="shared" si="27"/>
        <v>if (p_PropertyName == "Fama") { return (myIndicatorType.Fama[p_BarsAgo]); }</v>
      </c>
      <c r="AB148" t="s">
        <v>697</v>
      </c>
    </row>
    <row r="149" spans="1:28">
      <c r="A149" t="s">
        <v>168</v>
      </c>
      <c r="B149" t="s">
        <v>522</v>
      </c>
      <c r="C149" t="s">
        <v>169</v>
      </c>
      <c r="D149" t="s">
        <v>329</v>
      </c>
      <c r="E149" s="2">
        <f t="shared" si="21"/>
        <v>3</v>
      </c>
      <c r="F149" t="s">
        <v>602</v>
      </c>
      <c r="G149" t="s">
        <v>694</v>
      </c>
      <c r="H149" t="s">
        <v>695</v>
      </c>
      <c r="P149" t="s">
        <v>696</v>
      </c>
      <c r="V149" t="str">
        <f t="shared" si="22"/>
        <v>if (p_PropertyName == "Fama") { return (myIndicatorType.Fama[p_BarsAgo]); }</v>
      </c>
      <c r="W149" t="str">
        <f t="shared" si="23"/>
        <v/>
      </c>
      <c r="X149" t="str">
        <f t="shared" si="24"/>
        <v/>
      </c>
      <c r="Y149" t="str">
        <f t="shared" si="25"/>
        <v/>
      </c>
      <c r="Z149" t="str">
        <f t="shared" si="26"/>
        <v/>
      </c>
      <c r="AA149" t="str">
        <f t="shared" si="27"/>
        <v>if (p_PropertyName == "Fama") { return (myIndicatorType.Fama[p_BarsAgo]); }</v>
      </c>
      <c r="AB149" t="s">
        <v>697</v>
      </c>
    </row>
    <row r="150" spans="1:28">
      <c r="A150" t="s">
        <v>170</v>
      </c>
      <c r="B150" t="s">
        <v>523</v>
      </c>
      <c r="C150" t="s">
        <v>171</v>
      </c>
      <c r="D150" t="s">
        <v>326</v>
      </c>
      <c r="E150" s="2">
        <f t="shared" si="21"/>
        <v>1</v>
      </c>
      <c r="F150" t="s">
        <v>600</v>
      </c>
      <c r="V150" t="str">
        <f t="shared" si="22"/>
        <v/>
      </c>
      <c r="W150" t="str">
        <f t="shared" si="23"/>
        <v/>
      </c>
      <c r="X150" t="str">
        <f t="shared" si="24"/>
        <v/>
      </c>
      <c r="Y150" t="str">
        <f t="shared" si="25"/>
        <v/>
      </c>
      <c r="Z150" t="str">
        <f t="shared" si="26"/>
        <v/>
      </c>
      <c r="AA150" t="str">
        <f t="shared" si="27"/>
        <v/>
      </c>
      <c r="AB150" t="s">
        <v>601</v>
      </c>
    </row>
    <row r="151" spans="1:28">
      <c r="A151" t="s">
        <v>170</v>
      </c>
      <c r="B151" t="s">
        <v>524</v>
      </c>
      <c r="C151" t="s">
        <v>171</v>
      </c>
      <c r="D151" t="s">
        <v>329</v>
      </c>
      <c r="E151" s="2">
        <f t="shared" si="21"/>
        <v>2</v>
      </c>
      <c r="F151" t="s">
        <v>602</v>
      </c>
      <c r="G151" t="s">
        <v>600</v>
      </c>
      <c r="V151" t="str">
        <f t="shared" si="22"/>
        <v/>
      </c>
      <c r="W151" t="str">
        <f t="shared" si="23"/>
        <v/>
      </c>
      <c r="X151" t="str">
        <f t="shared" si="24"/>
        <v/>
      </c>
      <c r="Y151" t="str">
        <f t="shared" si="25"/>
        <v/>
      </c>
      <c r="Z151" t="str">
        <f t="shared" si="26"/>
        <v/>
      </c>
      <c r="AA151" t="str">
        <f t="shared" si="27"/>
        <v/>
      </c>
      <c r="AB151" t="s">
        <v>601</v>
      </c>
    </row>
    <row r="152" spans="1:28">
      <c r="A152" t="s">
        <v>172</v>
      </c>
      <c r="B152" t="s">
        <v>525</v>
      </c>
      <c r="C152" t="s">
        <v>173</v>
      </c>
      <c r="D152" t="s">
        <v>326</v>
      </c>
      <c r="E152" s="2">
        <f t="shared" si="21"/>
        <v>1</v>
      </c>
      <c r="F152" t="s">
        <v>600</v>
      </c>
      <c r="V152" t="str">
        <f t="shared" si="22"/>
        <v/>
      </c>
      <c r="W152" t="str">
        <f t="shared" si="23"/>
        <v/>
      </c>
      <c r="X152" t="str">
        <f t="shared" si="24"/>
        <v/>
      </c>
      <c r="Y152" t="str">
        <f t="shared" si="25"/>
        <v/>
      </c>
      <c r="Z152" t="str">
        <f t="shared" si="26"/>
        <v/>
      </c>
      <c r="AA152" t="str">
        <f t="shared" si="27"/>
        <v/>
      </c>
      <c r="AB152" t="s">
        <v>601</v>
      </c>
    </row>
    <row r="153" spans="1:28">
      <c r="A153" t="s">
        <v>172</v>
      </c>
      <c r="B153" t="s">
        <v>526</v>
      </c>
      <c r="C153" t="s">
        <v>173</v>
      </c>
      <c r="D153" t="s">
        <v>329</v>
      </c>
      <c r="E153" s="2">
        <f t="shared" si="21"/>
        <v>2</v>
      </c>
      <c r="F153" t="s">
        <v>602</v>
      </c>
      <c r="G153" t="s">
        <v>600</v>
      </c>
      <c r="V153" t="str">
        <f t="shared" si="22"/>
        <v/>
      </c>
      <c r="W153" t="str">
        <f t="shared" si="23"/>
        <v/>
      </c>
      <c r="X153" t="str">
        <f t="shared" si="24"/>
        <v/>
      </c>
      <c r="Y153" t="str">
        <f t="shared" si="25"/>
        <v/>
      </c>
      <c r="Z153" t="str">
        <f t="shared" si="26"/>
        <v/>
      </c>
      <c r="AA153" t="str">
        <f t="shared" si="27"/>
        <v/>
      </c>
      <c r="AB153" t="s">
        <v>601</v>
      </c>
    </row>
    <row r="154" spans="1:28">
      <c r="A154" t="s">
        <v>174</v>
      </c>
      <c r="B154" t="s">
        <v>527</v>
      </c>
      <c r="C154" t="s">
        <v>175</v>
      </c>
      <c r="D154" t="s">
        <v>326</v>
      </c>
      <c r="E154" s="2">
        <f t="shared" si="21"/>
        <v>1</v>
      </c>
      <c r="F154" t="s">
        <v>600</v>
      </c>
      <c r="V154" t="str">
        <f t="shared" si="22"/>
        <v/>
      </c>
      <c r="W154" t="str">
        <f t="shared" si="23"/>
        <v/>
      </c>
      <c r="X154" t="str">
        <f t="shared" si="24"/>
        <v/>
      </c>
      <c r="Y154" t="str">
        <f t="shared" si="25"/>
        <v/>
      </c>
      <c r="Z154" t="str">
        <f t="shared" si="26"/>
        <v/>
      </c>
      <c r="AA154" t="str">
        <f t="shared" si="27"/>
        <v/>
      </c>
      <c r="AB154" t="s">
        <v>601</v>
      </c>
    </row>
    <row r="155" spans="1:28">
      <c r="A155" t="s">
        <v>174</v>
      </c>
      <c r="B155" t="s">
        <v>528</v>
      </c>
      <c r="C155" t="s">
        <v>175</v>
      </c>
      <c r="D155" t="s">
        <v>329</v>
      </c>
      <c r="E155" s="2">
        <f t="shared" si="21"/>
        <v>2</v>
      </c>
      <c r="F155" t="s">
        <v>602</v>
      </c>
      <c r="G155" t="s">
        <v>600</v>
      </c>
      <c r="V155" t="str">
        <f t="shared" si="22"/>
        <v/>
      </c>
      <c r="W155" t="str">
        <f t="shared" si="23"/>
        <v/>
      </c>
      <c r="X155" t="str">
        <f t="shared" si="24"/>
        <v/>
      </c>
      <c r="Y155" t="str">
        <f t="shared" si="25"/>
        <v/>
      </c>
      <c r="Z155" t="str">
        <f t="shared" si="26"/>
        <v/>
      </c>
      <c r="AA155" t="str">
        <f t="shared" si="27"/>
        <v/>
      </c>
      <c r="AB155" t="s">
        <v>601</v>
      </c>
    </row>
    <row r="156" spans="1:28">
      <c r="A156" t="s">
        <v>176</v>
      </c>
      <c r="B156" t="s">
        <v>529</v>
      </c>
      <c r="C156" t="s">
        <v>177</v>
      </c>
      <c r="D156" t="s">
        <v>326</v>
      </c>
      <c r="E156" s="2">
        <f t="shared" si="21"/>
        <v>1</v>
      </c>
      <c r="F156" t="s">
        <v>600</v>
      </c>
      <c r="V156" t="str">
        <f t="shared" si="22"/>
        <v/>
      </c>
      <c r="W156" t="str">
        <f t="shared" si="23"/>
        <v/>
      </c>
      <c r="X156" t="str">
        <f t="shared" si="24"/>
        <v/>
      </c>
      <c r="Y156" t="str">
        <f t="shared" si="25"/>
        <v/>
      </c>
      <c r="Z156" t="str">
        <f t="shared" si="26"/>
        <v/>
      </c>
      <c r="AA156" t="str">
        <f t="shared" si="27"/>
        <v/>
      </c>
      <c r="AB156" t="s">
        <v>601</v>
      </c>
    </row>
    <row r="157" spans="1:28">
      <c r="A157" t="s">
        <v>176</v>
      </c>
      <c r="B157" t="s">
        <v>530</v>
      </c>
      <c r="C157" t="s">
        <v>177</v>
      </c>
      <c r="D157" t="s">
        <v>329</v>
      </c>
      <c r="E157" s="2">
        <f t="shared" si="21"/>
        <v>2</v>
      </c>
      <c r="F157" t="s">
        <v>602</v>
      </c>
      <c r="G157" t="s">
        <v>600</v>
      </c>
      <c r="V157" t="str">
        <f t="shared" si="22"/>
        <v/>
      </c>
      <c r="W157" t="str">
        <f t="shared" si="23"/>
        <v/>
      </c>
      <c r="X157" t="str">
        <f t="shared" si="24"/>
        <v/>
      </c>
      <c r="Y157" t="str">
        <f t="shared" si="25"/>
        <v/>
      </c>
      <c r="Z157" t="str">
        <f t="shared" si="26"/>
        <v/>
      </c>
      <c r="AA157" t="str">
        <f t="shared" si="27"/>
        <v/>
      </c>
      <c r="AB157" t="s">
        <v>601</v>
      </c>
    </row>
    <row r="158" spans="1:28">
      <c r="A158" t="s">
        <v>178</v>
      </c>
      <c r="B158" t="s">
        <v>531</v>
      </c>
      <c r="C158" t="s">
        <v>179</v>
      </c>
      <c r="D158" t="s">
        <v>326</v>
      </c>
      <c r="E158" s="2">
        <f t="shared" si="21"/>
        <v>4</v>
      </c>
      <c r="F158" t="s">
        <v>698</v>
      </c>
      <c r="G158" t="s">
        <v>699</v>
      </c>
      <c r="H158" t="s">
        <v>700</v>
      </c>
      <c r="I158" t="s">
        <v>701</v>
      </c>
      <c r="V158" t="str">
        <f t="shared" si="22"/>
        <v/>
      </c>
      <c r="W158" t="str">
        <f t="shared" si="23"/>
        <v/>
      </c>
      <c r="X158" t="str">
        <f t="shared" si="24"/>
        <v/>
      </c>
      <c r="Y158" t="str">
        <f t="shared" si="25"/>
        <v/>
      </c>
      <c r="Z158" t="str">
        <f t="shared" si="26"/>
        <v/>
      </c>
      <c r="AA158" t="str">
        <f t="shared" si="27"/>
        <v/>
      </c>
      <c r="AB158" t="s">
        <v>601</v>
      </c>
    </row>
    <row r="159" spans="1:28">
      <c r="A159" t="s">
        <v>178</v>
      </c>
      <c r="B159" t="s">
        <v>536</v>
      </c>
      <c r="C159" t="s">
        <v>179</v>
      </c>
      <c r="D159" t="s">
        <v>329</v>
      </c>
      <c r="E159" s="2">
        <f t="shared" si="21"/>
        <v>5</v>
      </c>
      <c r="F159" t="s">
        <v>602</v>
      </c>
      <c r="G159" t="s">
        <v>698</v>
      </c>
      <c r="H159" t="s">
        <v>699</v>
      </c>
      <c r="I159" t="s">
        <v>700</v>
      </c>
      <c r="J159" t="s">
        <v>701</v>
      </c>
      <c r="V159" t="str">
        <f t="shared" si="22"/>
        <v/>
      </c>
      <c r="W159" t="str">
        <f t="shared" si="23"/>
        <v/>
      </c>
      <c r="X159" t="str">
        <f t="shared" si="24"/>
        <v/>
      </c>
      <c r="Y159" t="str">
        <f t="shared" si="25"/>
        <v/>
      </c>
      <c r="Z159" t="str">
        <f t="shared" si="26"/>
        <v/>
      </c>
      <c r="AA159" t="str">
        <f t="shared" si="27"/>
        <v/>
      </c>
      <c r="AB159" t="s">
        <v>601</v>
      </c>
    </row>
    <row r="160" spans="1:28">
      <c r="A160" t="s">
        <v>180</v>
      </c>
      <c r="B160" t="s">
        <v>537</v>
      </c>
      <c r="C160" t="s">
        <v>181</v>
      </c>
      <c r="D160" t="s">
        <v>326</v>
      </c>
      <c r="E160" s="2">
        <f t="shared" si="21"/>
        <v>4</v>
      </c>
      <c r="F160" t="s">
        <v>698</v>
      </c>
      <c r="G160" t="s">
        <v>702</v>
      </c>
      <c r="H160" t="s">
        <v>703</v>
      </c>
      <c r="I160" t="s">
        <v>704</v>
      </c>
      <c r="V160" t="str">
        <f t="shared" si="22"/>
        <v/>
      </c>
      <c r="W160" t="str">
        <f t="shared" si="23"/>
        <v/>
      </c>
      <c r="X160" t="str">
        <f t="shared" si="24"/>
        <v/>
      </c>
      <c r="Y160" t="str">
        <f t="shared" si="25"/>
        <v/>
      </c>
      <c r="Z160" t="str">
        <f t="shared" si="26"/>
        <v/>
      </c>
      <c r="AA160" t="str">
        <f t="shared" si="27"/>
        <v/>
      </c>
      <c r="AB160" t="s">
        <v>601</v>
      </c>
    </row>
    <row r="161" spans="1:28">
      <c r="A161" t="s">
        <v>180</v>
      </c>
      <c r="B161" t="s">
        <v>541</v>
      </c>
      <c r="C161" t="s">
        <v>181</v>
      </c>
      <c r="D161" t="s">
        <v>329</v>
      </c>
      <c r="E161" s="2">
        <f t="shared" si="21"/>
        <v>5</v>
      </c>
      <c r="F161" t="s">
        <v>602</v>
      </c>
      <c r="G161" t="s">
        <v>698</v>
      </c>
      <c r="H161" t="s">
        <v>702</v>
      </c>
      <c r="I161" t="s">
        <v>703</v>
      </c>
      <c r="J161" t="s">
        <v>704</v>
      </c>
      <c r="V161" t="str">
        <f t="shared" si="22"/>
        <v/>
      </c>
      <c r="W161" t="str">
        <f t="shared" si="23"/>
        <v/>
      </c>
      <c r="X161" t="str">
        <f t="shared" si="24"/>
        <v/>
      </c>
      <c r="Y161" t="str">
        <f t="shared" si="25"/>
        <v/>
      </c>
      <c r="Z161" t="str">
        <f t="shared" si="26"/>
        <v/>
      </c>
      <c r="AA161" t="str">
        <f t="shared" si="27"/>
        <v/>
      </c>
      <c r="AB161" t="s">
        <v>601</v>
      </c>
    </row>
    <row r="162" spans="1:28">
      <c r="A162" t="s">
        <v>182</v>
      </c>
      <c r="B162" t="s">
        <v>542</v>
      </c>
      <c r="C162" t="s">
        <v>183</v>
      </c>
      <c r="D162" t="s">
        <v>326</v>
      </c>
      <c r="E162" s="2">
        <f t="shared" si="21"/>
        <v>1</v>
      </c>
      <c r="F162" t="s">
        <v>378</v>
      </c>
      <c r="V162" t="str">
        <f t="shared" si="22"/>
        <v/>
      </c>
      <c r="W162" t="str">
        <f t="shared" si="23"/>
        <v/>
      </c>
      <c r="X162" t="str">
        <f t="shared" si="24"/>
        <v/>
      </c>
      <c r="Y162" t="str">
        <f t="shared" si="25"/>
        <v/>
      </c>
      <c r="Z162" t="str">
        <f t="shared" si="26"/>
        <v/>
      </c>
      <c r="AA162" t="str">
        <f t="shared" si="27"/>
        <v/>
      </c>
      <c r="AB162" t="s">
        <v>601</v>
      </c>
    </row>
    <row r="163" spans="1:28">
      <c r="A163" t="s">
        <v>182</v>
      </c>
      <c r="B163" t="s">
        <v>543</v>
      </c>
      <c r="C163" t="s">
        <v>183</v>
      </c>
      <c r="D163" t="s">
        <v>329</v>
      </c>
      <c r="E163" s="2">
        <f t="shared" si="21"/>
        <v>1</v>
      </c>
      <c r="F163" t="s">
        <v>602</v>
      </c>
      <c r="V163" t="str">
        <f t="shared" si="22"/>
        <v/>
      </c>
      <c r="W163" t="str">
        <f t="shared" si="23"/>
        <v/>
      </c>
      <c r="X163" t="str">
        <f t="shared" si="24"/>
        <v/>
      </c>
      <c r="Y163" t="str">
        <f t="shared" si="25"/>
        <v/>
      </c>
      <c r="Z163" t="str">
        <f t="shared" si="26"/>
        <v/>
      </c>
      <c r="AA163" t="str">
        <f t="shared" si="27"/>
        <v/>
      </c>
      <c r="AB163" t="s">
        <v>601</v>
      </c>
    </row>
    <row r="164" spans="1:28">
      <c r="A164" t="s">
        <v>184</v>
      </c>
      <c r="B164" t="s">
        <v>544</v>
      </c>
      <c r="C164" t="s">
        <v>185</v>
      </c>
      <c r="D164" t="s">
        <v>326</v>
      </c>
      <c r="E164" s="2">
        <f t="shared" si="21"/>
        <v>3</v>
      </c>
      <c r="F164" t="s">
        <v>705</v>
      </c>
      <c r="G164" t="s">
        <v>706</v>
      </c>
      <c r="H164" t="s">
        <v>707</v>
      </c>
      <c r="V164" t="str">
        <f t="shared" si="22"/>
        <v/>
      </c>
      <c r="W164" t="str">
        <f t="shared" si="23"/>
        <v/>
      </c>
      <c r="X164" t="str">
        <f t="shared" si="24"/>
        <v/>
      </c>
      <c r="Y164" t="str">
        <f t="shared" si="25"/>
        <v/>
      </c>
      <c r="Z164" t="str">
        <f t="shared" si="26"/>
        <v/>
      </c>
      <c r="AA164" t="str">
        <f t="shared" si="27"/>
        <v/>
      </c>
      <c r="AB164" t="s">
        <v>601</v>
      </c>
    </row>
    <row r="165" spans="1:28">
      <c r="A165" t="s">
        <v>184</v>
      </c>
      <c r="B165" t="s">
        <v>548</v>
      </c>
      <c r="C165" t="s">
        <v>185</v>
      </c>
      <c r="D165" t="s">
        <v>329</v>
      </c>
      <c r="E165" s="2">
        <f t="shared" si="21"/>
        <v>4</v>
      </c>
      <c r="F165" t="s">
        <v>602</v>
      </c>
      <c r="G165" t="s">
        <v>705</v>
      </c>
      <c r="H165" t="s">
        <v>706</v>
      </c>
      <c r="I165" t="s">
        <v>707</v>
      </c>
      <c r="V165" t="str">
        <f t="shared" si="22"/>
        <v/>
      </c>
      <c r="W165" t="str">
        <f t="shared" si="23"/>
        <v/>
      </c>
      <c r="X165" t="str">
        <f t="shared" si="24"/>
        <v/>
      </c>
      <c r="Y165" t="str">
        <f t="shared" si="25"/>
        <v/>
      </c>
      <c r="Z165" t="str">
        <f t="shared" si="26"/>
        <v/>
      </c>
      <c r="AA165" t="str">
        <f t="shared" si="27"/>
        <v/>
      </c>
      <c r="AB165" t="s">
        <v>601</v>
      </c>
    </row>
    <row r="166" spans="1:28">
      <c r="A166" t="s">
        <v>186</v>
      </c>
      <c r="B166" t="s">
        <v>549</v>
      </c>
      <c r="C166" t="s">
        <v>187</v>
      </c>
      <c r="D166" t="s">
        <v>326</v>
      </c>
      <c r="E166" s="2">
        <f t="shared" si="21"/>
        <v>2</v>
      </c>
      <c r="F166" t="s">
        <v>600</v>
      </c>
      <c r="G166" t="s">
        <v>608</v>
      </c>
      <c r="V166" t="str">
        <f t="shared" si="22"/>
        <v/>
      </c>
      <c r="W166" t="str">
        <f t="shared" si="23"/>
        <v/>
      </c>
      <c r="X166" t="str">
        <f t="shared" si="24"/>
        <v/>
      </c>
      <c r="Y166" t="str">
        <f t="shared" si="25"/>
        <v/>
      </c>
      <c r="Z166" t="str">
        <f t="shared" si="26"/>
        <v/>
      </c>
      <c r="AA166" t="str">
        <f t="shared" si="27"/>
        <v/>
      </c>
      <c r="AB166" t="s">
        <v>601</v>
      </c>
    </row>
    <row r="167" spans="1:28">
      <c r="A167" t="s">
        <v>186</v>
      </c>
      <c r="B167" t="s">
        <v>550</v>
      </c>
      <c r="C167" t="s">
        <v>187</v>
      </c>
      <c r="D167" t="s">
        <v>329</v>
      </c>
      <c r="E167" s="2">
        <f t="shared" si="21"/>
        <v>3</v>
      </c>
      <c r="F167" t="s">
        <v>602</v>
      </c>
      <c r="G167" t="s">
        <v>600</v>
      </c>
      <c r="H167" t="s">
        <v>608</v>
      </c>
      <c r="V167" t="str">
        <f t="shared" si="22"/>
        <v/>
      </c>
      <c r="W167" t="str">
        <f t="shared" si="23"/>
        <v/>
      </c>
      <c r="X167" t="str">
        <f t="shared" si="24"/>
        <v/>
      </c>
      <c r="Y167" t="str">
        <f t="shared" si="25"/>
        <v/>
      </c>
      <c r="Z167" t="str">
        <f t="shared" si="26"/>
        <v/>
      </c>
      <c r="AA167" t="str">
        <f t="shared" si="27"/>
        <v/>
      </c>
      <c r="AB167" t="s">
        <v>601</v>
      </c>
    </row>
    <row r="168" spans="1:28">
      <c r="A168" t="s">
        <v>188</v>
      </c>
      <c r="B168" t="s">
        <v>551</v>
      </c>
      <c r="C168" t="s">
        <v>189</v>
      </c>
      <c r="D168" t="s">
        <v>326</v>
      </c>
      <c r="E168" s="2">
        <f t="shared" si="21"/>
        <v>6</v>
      </c>
      <c r="F168" t="s">
        <v>708</v>
      </c>
      <c r="G168" t="s">
        <v>649</v>
      </c>
      <c r="H168" t="s">
        <v>709</v>
      </c>
      <c r="I168" t="s">
        <v>710</v>
      </c>
      <c r="J168" t="s">
        <v>711</v>
      </c>
      <c r="K168" t="s">
        <v>650</v>
      </c>
      <c r="P168" t="s">
        <v>651</v>
      </c>
      <c r="Q168" t="s">
        <v>652</v>
      </c>
      <c r="R168" t="s">
        <v>712</v>
      </c>
      <c r="S168" t="s">
        <v>653</v>
      </c>
      <c r="T168" t="s">
        <v>654</v>
      </c>
      <c r="U168" t="s">
        <v>713</v>
      </c>
      <c r="V168" t="str">
        <f t="shared" si="22"/>
        <v>if (p_PropertyName == "R1") { return (myIndicatorType.R1[p_BarsAgo]); }</v>
      </c>
      <c r="W168" t="str">
        <f t="shared" si="23"/>
        <v>if (p_PropertyName == "R2") { return (myIndicatorType.R2[p_BarsAgo]); }</v>
      </c>
      <c r="X168" t="str">
        <f t="shared" si="24"/>
        <v>if (p_PropertyName == "R3") { return (myIndicatorType.R3[p_BarsAgo]); }</v>
      </c>
      <c r="Y168" t="str">
        <f t="shared" si="25"/>
        <v>if (p_PropertyName == "S1") { return (myIndicatorType.S1[p_BarsAgo]); }</v>
      </c>
      <c r="Z168" t="str">
        <f t="shared" si="26"/>
        <v>if (p_PropertyName == "S2") { return (myIndicatorType.S2[p_BarsAgo]); }</v>
      </c>
      <c r="AA168" t="str">
        <f t="shared" si="27"/>
        <v>if (p_PropertyName == "R1") { return (myIndicatorType.R1[p_BarsAgo]); }if (p_PropertyName == "R2") { return (myIndicatorType.R2[p_BarsAgo]); }if (p_PropertyName == "R3") { return (myIndicatorType.R3[p_BarsAgo]); }if (p_PropertyName == "S1") { return (myIndicatorType.S1[p_BarsAgo]); }if (p_PropertyName == "S2") { return (myIndicatorType.S2[p_BarsAgo]); }</v>
      </c>
      <c r="AB168" t="s">
        <v>714</v>
      </c>
    </row>
    <row r="169" spans="1:28">
      <c r="A169" t="s">
        <v>188</v>
      </c>
      <c r="B169" t="s">
        <v>557</v>
      </c>
      <c r="C169" t="s">
        <v>189</v>
      </c>
      <c r="D169" t="s">
        <v>329</v>
      </c>
      <c r="E169" s="2">
        <f t="shared" si="21"/>
        <v>7</v>
      </c>
      <c r="F169" t="s">
        <v>602</v>
      </c>
      <c r="G169" t="s">
        <v>708</v>
      </c>
      <c r="H169" t="s">
        <v>649</v>
      </c>
      <c r="I169" t="s">
        <v>709</v>
      </c>
      <c r="J169" t="s">
        <v>710</v>
      </c>
      <c r="K169" t="s">
        <v>711</v>
      </c>
      <c r="L169" t="s">
        <v>650</v>
      </c>
      <c r="P169" t="s">
        <v>651</v>
      </c>
      <c r="Q169" t="s">
        <v>652</v>
      </c>
      <c r="R169" t="s">
        <v>712</v>
      </c>
      <c r="S169" t="s">
        <v>653</v>
      </c>
      <c r="T169" t="s">
        <v>654</v>
      </c>
      <c r="U169" t="s">
        <v>713</v>
      </c>
      <c r="V169" t="str">
        <f t="shared" si="22"/>
        <v>if (p_PropertyName == "R1") { return (myIndicatorType.R1[p_BarsAgo]); }</v>
      </c>
      <c r="W169" t="str">
        <f t="shared" si="23"/>
        <v>if (p_PropertyName == "R2") { return (myIndicatorType.R2[p_BarsAgo]); }</v>
      </c>
      <c r="X169" t="str">
        <f t="shared" si="24"/>
        <v>if (p_PropertyName == "R3") { return (myIndicatorType.R3[p_BarsAgo]); }</v>
      </c>
      <c r="Y169" t="str">
        <f t="shared" si="25"/>
        <v>if (p_PropertyName == "S1") { return (myIndicatorType.S1[p_BarsAgo]); }</v>
      </c>
      <c r="Z169" t="str">
        <f t="shared" si="26"/>
        <v>if (p_PropertyName == "S2") { return (myIndicatorType.S2[p_BarsAgo]); }</v>
      </c>
      <c r="AA169" t="str">
        <f t="shared" si="27"/>
        <v>if (p_PropertyName == "R1") { return (myIndicatorType.R1[p_BarsAgo]); }if (p_PropertyName == "R2") { return (myIndicatorType.R2[p_BarsAgo]); }if (p_PropertyName == "R3") { return (myIndicatorType.R3[p_BarsAgo]); }if (p_PropertyName == "S1") { return (myIndicatorType.S1[p_BarsAgo]); }if (p_PropertyName == "S2") { return (myIndicatorType.S2[p_BarsAgo]); }</v>
      </c>
      <c r="AB169" t="s">
        <v>714</v>
      </c>
    </row>
    <row r="170" spans="1:28">
      <c r="A170" t="s">
        <v>192</v>
      </c>
      <c r="B170" t="s">
        <v>558</v>
      </c>
      <c r="C170" t="s">
        <v>193</v>
      </c>
      <c r="D170" t="s">
        <v>326</v>
      </c>
      <c r="E170" s="2">
        <f t="shared" si="21"/>
        <v>3</v>
      </c>
      <c r="F170" t="s">
        <v>626</v>
      </c>
      <c r="G170" t="s">
        <v>627</v>
      </c>
      <c r="H170" t="s">
        <v>608</v>
      </c>
      <c r="P170" t="s">
        <v>715</v>
      </c>
      <c r="V170" t="str">
        <f t="shared" si="22"/>
        <v>if (p_PropertyName == "Smoothed") { return (myIndicatorType.Smoothed[p_BarsAgo]); }</v>
      </c>
      <c r="W170" t="str">
        <f t="shared" si="23"/>
        <v/>
      </c>
      <c r="X170" t="str">
        <f t="shared" si="24"/>
        <v/>
      </c>
      <c r="Y170" t="str">
        <f t="shared" si="25"/>
        <v/>
      </c>
      <c r="Z170" t="str">
        <f t="shared" si="26"/>
        <v/>
      </c>
      <c r="AA170" t="str">
        <f t="shared" si="27"/>
        <v>if (p_PropertyName == "Smoothed") { return (myIndicatorType.Smoothed[p_BarsAgo]); }</v>
      </c>
      <c r="AB170" t="s">
        <v>716</v>
      </c>
    </row>
    <row r="171" spans="1:28">
      <c r="A171" t="s">
        <v>192</v>
      </c>
      <c r="B171" t="s">
        <v>559</v>
      </c>
      <c r="C171" t="s">
        <v>193</v>
      </c>
      <c r="D171" t="s">
        <v>329</v>
      </c>
      <c r="E171" s="2">
        <f t="shared" si="21"/>
        <v>4</v>
      </c>
      <c r="F171" t="s">
        <v>602</v>
      </c>
      <c r="G171" t="s">
        <v>626</v>
      </c>
      <c r="H171" t="s">
        <v>627</v>
      </c>
      <c r="I171" t="s">
        <v>608</v>
      </c>
      <c r="P171" t="s">
        <v>715</v>
      </c>
      <c r="V171" t="str">
        <f t="shared" si="22"/>
        <v>if (p_PropertyName == "Smoothed") { return (myIndicatorType.Smoothed[p_BarsAgo]); }</v>
      </c>
      <c r="W171" t="str">
        <f t="shared" si="23"/>
        <v/>
      </c>
      <c r="X171" t="str">
        <f t="shared" si="24"/>
        <v/>
      </c>
      <c r="Y171" t="str">
        <f t="shared" si="25"/>
        <v/>
      </c>
      <c r="Z171" t="str">
        <f t="shared" si="26"/>
        <v/>
      </c>
      <c r="AA171" t="str">
        <f t="shared" si="27"/>
        <v>if (p_PropertyName == "Smoothed") { return (myIndicatorType.Smoothed[p_BarsAgo]); }</v>
      </c>
      <c r="AB171" t="s">
        <v>716</v>
      </c>
    </row>
    <row r="172" spans="1:28">
      <c r="A172" t="s">
        <v>194</v>
      </c>
      <c r="B172" t="s">
        <v>560</v>
      </c>
      <c r="C172" t="s">
        <v>195</v>
      </c>
      <c r="D172" t="s">
        <v>326</v>
      </c>
      <c r="E172" s="2">
        <f t="shared" si="21"/>
        <v>3</v>
      </c>
      <c r="F172" t="s">
        <v>626</v>
      </c>
      <c r="G172" t="s">
        <v>627</v>
      </c>
      <c r="H172" t="s">
        <v>608</v>
      </c>
      <c r="V172" t="str">
        <f t="shared" si="22"/>
        <v/>
      </c>
      <c r="W172" t="str">
        <f t="shared" si="23"/>
        <v/>
      </c>
      <c r="X172" t="str">
        <f t="shared" si="24"/>
        <v/>
      </c>
      <c r="Y172" t="str">
        <f t="shared" si="25"/>
        <v/>
      </c>
      <c r="Z172" t="str">
        <f t="shared" si="26"/>
        <v/>
      </c>
      <c r="AA172" t="str">
        <f t="shared" si="27"/>
        <v/>
      </c>
      <c r="AB172" t="s">
        <v>601</v>
      </c>
    </row>
    <row r="173" spans="1:28">
      <c r="A173" t="s">
        <v>194</v>
      </c>
      <c r="B173" t="s">
        <v>561</v>
      </c>
      <c r="C173" t="s">
        <v>195</v>
      </c>
      <c r="D173" t="s">
        <v>329</v>
      </c>
      <c r="E173" s="2">
        <f t="shared" si="21"/>
        <v>4</v>
      </c>
      <c r="F173" t="s">
        <v>602</v>
      </c>
      <c r="G173" t="s">
        <v>626</v>
      </c>
      <c r="H173" t="s">
        <v>627</v>
      </c>
      <c r="I173" t="s">
        <v>608</v>
      </c>
      <c r="V173" t="str">
        <f t="shared" si="22"/>
        <v/>
      </c>
      <c r="W173" t="str">
        <f t="shared" si="23"/>
        <v/>
      </c>
      <c r="X173" t="str">
        <f t="shared" si="24"/>
        <v/>
      </c>
      <c r="Y173" t="str">
        <f t="shared" si="25"/>
        <v/>
      </c>
      <c r="Z173" t="str">
        <f t="shared" si="26"/>
        <v/>
      </c>
      <c r="AA173" t="str">
        <f t="shared" si="27"/>
        <v/>
      </c>
      <c r="AB173" t="s">
        <v>601</v>
      </c>
    </row>
    <row r="174" spans="1:28">
      <c r="A174" t="s">
        <v>196</v>
      </c>
      <c r="B174" t="s">
        <v>562</v>
      </c>
      <c r="C174" t="s">
        <v>197</v>
      </c>
      <c r="D174" t="s">
        <v>326</v>
      </c>
      <c r="E174" s="2">
        <f t="shared" si="21"/>
        <v>1</v>
      </c>
      <c r="F174" t="s">
        <v>378</v>
      </c>
      <c r="P174" t="s">
        <v>717</v>
      </c>
      <c r="Q174" t="s">
        <v>718</v>
      </c>
      <c r="R174" t="s">
        <v>719</v>
      </c>
      <c r="S174" t="s">
        <v>720</v>
      </c>
      <c r="V174" t="str">
        <f t="shared" si="22"/>
        <v>if (p_PropertyName == "PriorOpen") { return (myIndicatorType.PriorOpen[p_BarsAgo]); }</v>
      </c>
      <c r="W174" t="str">
        <f t="shared" si="23"/>
        <v>if (p_PropertyName == "PriorHigh") { return (myIndicatorType.PriorHigh[p_BarsAgo]); }</v>
      </c>
      <c r="X174" t="str">
        <f t="shared" si="24"/>
        <v>if (p_PropertyName == "PriorLow") { return (myIndicatorType.PriorLow[p_BarsAgo]); }</v>
      </c>
      <c r="Y174" t="str">
        <f t="shared" si="25"/>
        <v>if (p_PropertyName == "PriorClose") { return (myIndicatorType.PriorClose[p_BarsAgo]); }</v>
      </c>
      <c r="Z174" t="str">
        <f t="shared" si="26"/>
        <v/>
      </c>
      <c r="AA174" t="str">
        <f t="shared" si="27"/>
        <v>if (p_PropertyName == "PriorOpen") { return (myIndicatorType.PriorOpen[p_BarsAgo]); }if (p_PropertyName == "PriorHigh") { return (myIndicatorType.PriorHigh[p_BarsAgo]); }if (p_PropertyName == "PriorLow") { return (myIndicatorType.PriorLow[p_BarsAgo]); }if (p_PropertyName == "PriorClose") { return (myIndicatorType.PriorClose[p_BarsAgo]); }</v>
      </c>
      <c r="AB174" t="s">
        <v>721</v>
      </c>
    </row>
    <row r="175" spans="1:28">
      <c r="A175" t="s">
        <v>196</v>
      </c>
      <c r="B175" t="s">
        <v>563</v>
      </c>
      <c r="C175" t="s">
        <v>197</v>
      </c>
      <c r="D175" t="s">
        <v>329</v>
      </c>
      <c r="E175" s="2">
        <f t="shared" si="21"/>
        <v>1</v>
      </c>
      <c r="F175" t="s">
        <v>602</v>
      </c>
      <c r="P175" t="s">
        <v>717</v>
      </c>
      <c r="Q175" t="s">
        <v>718</v>
      </c>
      <c r="R175" t="s">
        <v>719</v>
      </c>
      <c r="S175" t="s">
        <v>720</v>
      </c>
      <c r="V175" t="str">
        <f t="shared" si="22"/>
        <v>if (p_PropertyName == "PriorOpen") { return (myIndicatorType.PriorOpen[p_BarsAgo]); }</v>
      </c>
      <c r="W175" t="str">
        <f t="shared" si="23"/>
        <v>if (p_PropertyName == "PriorHigh") { return (myIndicatorType.PriorHigh[p_BarsAgo]); }</v>
      </c>
      <c r="X175" t="str">
        <f t="shared" si="24"/>
        <v>if (p_PropertyName == "PriorLow") { return (myIndicatorType.PriorLow[p_BarsAgo]); }</v>
      </c>
      <c r="Y175" t="str">
        <f t="shared" si="25"/>
        <v>if (p_PropertyName == "PriorClose") { return (myIndicatorType.PriorClose[p_BarsAgo]); }</v>
      </c>
      <c r="Z175" t="str">
        <f t="shared" si="26"/>
        <v/>
      </c>
      <c r="AA175" t="str">
        <f t="shared" si="27"/>
        <v>if (p_PropertyName == "PriorOpen") { return (myIndicatorType.PriorOpen[p_BarsAgo]); }if (p_PropertyName == "PriorHigh") { return (myIndicatorType.PriorHigh[p_BarsAgo]); }if (p_PropertyName == "PriorLow") { return (myIndicatorType.PriorLow[p_BarsAgo]); }if (p_PropertyName == "PriorClose") { return (myIndicatorType.PriorClose[p_BarsAgo]); }</v>
      </c>
      <c r="AB175" t="s">
        <v>721</v>
      </c>
    </row>
    <row r="176" spans="1:28">
      <c r="A176" t="s">
        <v>198</v>
      </c>
      <c r="B176" t="s">
        <v>564</v>
      </c>
      <c r="C176" t="s">
        <v>199</v>
      </c>
      <c r="D176" t="s">
        <v>326</v>
      </c>
      <c r="E176" s="2">
        <f t="shared" si="21"/>
        <v>1</v>
      </c>
      <c r="F176" t="s">
        <v>378</v>
      </c>
      <c r="V176" t="str">
        <f t="shared" si="22"/>
        <v/>
      </c>
      <c r="W176" t="str">
        <f t="shared" si="23"/>
        <v/>
      </c>
      <c r="X176" t="str">
        <f t="shared" si="24"/>
        <v/>
      </c>
      <c r="Y176" t="str">
        <f t="shared" si="25"/>
        <v/>
      </c>
      <c r="Z176" t="str">
        <f t="shared" si="26"/>
        <v/>
      </c>
      <c r="AA176" t="str">
        <f t="shared" si="27"/>
        <v/>
      </c>
      <c r="AB176" t="s">
        <v>601</v>
      </c>
    </row>
    <row r="177" spans="1:28">
      <c r="A177" t="s">
        <v>198</v>
      </c>
      <c r="B177" t="s">
        <v>565</v>
      </c>
      <c r="C177" t="s">
        <v>199</v>
      </c>
      <c r="D177" t="s">
        <v>329</v>
      </c>
      <c r="E177" s="2">
        <f t="shared" si="21"/>
        <v>1</v>
      </c>
      <c r="F177" t="s">
        <v>602</v>
      </c>
      <c r="V177" t="str">
        <f t="shared" si="22"/>
        <v/>
      </c>
      <c r="W177" t="str">
        <f t="shared" si="23"/>
        <v/>
      </c>
      <c r="X177" t="str">
        <f t="shared" si="24"/>
        <v/>
      </c>
      <c r="Y177" t="str">
        <f t="shared" si="25"/>
        <v/>
      </c>
      <c r="Z177" t="str">
        <f t="shared" si="26"/>
        <v/>
      </c>
      <c r="AA177" t="str">
        <f t="shared" si="27"/>
        <v/>
      </c>
      <c r="AB177" t="s">
        <v>601</v>
      </c>
    </row>
    <row r="178" spans="1:28">
      <c r="A178" t="s">
        <v>200</v>
      </c>
      <c r="B178" t="s">
        <v>566</v>
      </c>
      <c r="C178" t="s">
        <v>201</v>
      </c>
      <c r="D178" t="s">
        <v>326</v>
      </c>
      <c r="E178" s="2">
        <f t="shared" si="21"/>
        <v>1</v>
      </c>
      <c r="F178" t="s">
        <v>620</v>
      </c>
      <c r="V178" t="str">
        <f t="shared" si="22"/>
        <v/>
      </c>
      <c r="W178" t="str">
        <f t="shared" si="23"/>
        <v/>
      </c>
      <c r="X178" t="str">
        <f t="shared" si="24"/>
        <v/>
      </c>
      <c r="Y178" t="str">
        <f t="shared" si="25"/>
        <v/>
      </c>
      <c r="Z178" t="str">
        <f t="shared" si="26"/>
        <v/>
      </c>
      <c r="AA178" t="str">
        <f t="shared" si="27"/>
        <v/>
      </c>
      <c r="AB178" t="s">
        <v>601</v>
      </c>
    </row>
    <row r="179" spans="1:28">
      <c r="A179" t="s">
        <v>200</v>
      </c>
      <c r="B179" t="s">
        <v>567</v>
      </c>
      <c r="C179" t="s">
        <v>201</v>
      </c>
      <c r="D179" t="s">
        <v>329</v>
      </c>
      <c r="E179" s="2">
        <f t="shared" si="21"/>
        <v>2</v>
      </c>
      <c r="F179" t="s">
        <v>602</v>
      </c>
      <c r="G179" t="s">
        <v>620</v>
      </c>
      <c r="V179" t="str">
        <f t="shared" si="22"/>
        <v/>
      </c>
      <c r="W179" t="str">
        <f t="shared" si="23"/>
        <v/>
      </c>
      <c r="X179" t="str">
        <f t="shared" si="24"/>
        <v/>
      </c>
      <c r="Y179" t="str">
        <f t="shared" si="25"/>
        <v/>
      </c>
      <c r="Z179" t="str">
        <f t="shared" si="26"/>
        <v/>
      </c>
      <c r="AA179" t="str">
        <f t="shared" si="27"/>
        <v/>
      </c>
      <c r="AB179" t="s">
        <v>601</v>
      </c>
    </row>
    <row r="180" spans="1:28">
      <c r="A180" t="s">
        <v>202</v>
      </c>
      <c r="B180" t="s">
        <v>568</v>
      </c>
      <c r="C180" t="s">
        <v>203</v>
      </c>
      <c r="D180" t="s">
        <v>326</v>
      </c>
      <c r="E180" s="2">
        <f t="shared" si="21"/>
        <v>2</v>
      </c>
      <c r="F180" t="s">
        <v>600</v>
      </c>
      <c r="G180" t="s">
        <v>650</v>
      </c>
      <c r="P180" t="s">
        <v>603</v>
      </c>
      <c r="Q180" t="s">
        <v>604</v>
      </c>
      <c r="V180" t="str">
        <f t="shared" si="22"/>
        <v>if (p_PropertyName == "Upper") { return (myIndicatorType.Upper[p_BarsAgo]); }</v>
      </c>
      <c r="W180" t="str">
        <f t="shared" si="23"/>
        <v>if (p_PropertyName == "Lower") { return (myIndicatorType.Lower[p_BarsAgo]); }</v>
      </c>
      <c r="X180" t="str">
        <f t="shared" si="24"/>
        <v/>
      </c>
      <c r="Y180" t="str">
        <f t="shared" si="25"/>
        <v/>
      </c>
      <c r="Z180" t="str">
        <f t="shared" si="26"/>
        <v/>
      </c>
      <c r="AA180" t="str">
        <f t="shared" si="27"/>
        <v>if (p_PropertyName == "Upper") { return (myIndicatorType.Upper[p_BarsAgo]); }if (p_PropertyName == "Lower") { return (myIndicatorType.Lower[p_BarsAgo]); }</v>
      </c>
      <c r="AB180" t="s">
        <v>605</v>
      </c>
    </row>
    <row r="181" spans="1:28">
      <c r="A181" t="s">
        <v>202</v>
      </c>
      <c r="B181" t="s">
        <v>570</v>
      </c>
      <c r="C181" t="s">
        <v>203</v>
      </c>
      <c r="D181" t="s">
        <v>329</v>
      </c>
      <c r="E181" s="2">
        <f t="shared" si="21"/>
        <v>3</v>
      </c>
      <c r="F181" t="s">
        <v>602</v>
      </c>
      <c r="G181" t="s">
        <v>600</v>
      </c>
      <c r="H181" t="s">
        <v>650</v>
      </c>
      <c r="P181" t="s">
        <v>603</v>
      </c>
      <c r="Q181" t="s">
        <v>604</v>
      </c>
      <c r="V181" t="str">
        <f t="shared" si="22"/>
        <v>if (p_PropertyName == "Upper") { return (myIndicatorType.Upper[p_BarsAgo]); }</v>
      </c>
      <c r="W181" t="str">
        <f t="shared" si="23"/>
        <v>if (p_PropertyName == "Lower") { return (myIndicatorType.Lower[p_BarsAgo]); }</v>
      </c>
      <c r="X181" t="str">
        <f t="shared" si="24"/>
        <v/>
      </c>
      <c r="Y181" t="str">
        <f t="shared" si="25"/>
        <v/>
      </c>
      <c r="Z181" t="str">
        <f t="shared" si="26"/>
        <v/>
      </c>
      <c r="AA181" t="str">
        <f t="shared" si="27"/>
        <v>if (p_PropertyName == "Upper") { return (myIndicatorType.Upper[p_BarsAgo]); }if (p_PropertyName == "Lower") { return (myIndicatorType.Lower[p_BarsAgo]); }</v>
      </c>
      <c r="AB181" t="s">
        <v>605</v>
      </c>
    </row>
    <row r="182" spans="1:28">
      <c r="A182" t="s">
        <v>204</v>
      </c>
      <c r="B182" t="s">
        <v>571</v>
      </c>
      <c r="C182" t="s">
        <v>205</v>
      </c>
      <c r="D182" t="s">
        <v>326</v>
      </c>
      <c r="E182" s="2">
        <f t="shared" si="21"/>
        <v>2</v>
      </c>
      <c r="F182" t="s">
        <v>722</v>
      </c>
      <c r="G182" t="s">
        <v>608</v>
      </c>
      <c r="V182" t="str">
        <f t="shared" si="22"/>
        <v/>
      </c>
      <c r="W182" t="str">
        <f t="shared" si="23"/>
        <v/>
      </c>
      <c r="X182" t="str">
        <f t="shared" si="24"/>
        <v/>
      </c>
      <c r="Y182" t="str">
        <f t="shared" si="25"/>
        <v/>
      </c>
      <c r="Z182" t="str">
        <f t="shared" si="26"/>
        <v/>
      </c>
      <c r="AA182" t="str">
        <f t="shared" si="27"/>
        <v/>
      </c>
      <c r="AB182" t="s">
        <v>601</v>
      </c>
    </row>
    <row r="183" spans="1:28">
      <c r="A183" t="s">
        <v>204</v>
      </c>
      <c r="B183" t="s">
        <v>573</v>
      </c>
      <c r="C183" t="s">
        <v>205</v>
      </c>
      <c r="D183" t="s">
        <v>329</v>
      </c>
      <c r="E183" s="2">
        <f t="shared" si="21"/>
        <v>3</v>
      </c>
      <c r="F183" t="s">
        <v>602</v>
      </c>
      <c r="G183" t="s">
        <v>722</v>
      </c>
      <c r="H183" t="s">
        <v>608</v>
      </c>
      <c r="V183" t="str">
        <f t="shared" si="22"/>
        <v/>
      </c>
      <c r="W183" t="str">
        <f t="shared" si="23"/>
        <v/>
      </c>
      <c r="X183" t="str">
        <f t="shared" si="24"/>
        <v/>
      </c>
      <c r="Y183" t="str">
        <f t="shared" si="25"/>
        <v/>
      </c>
      <c r="Z183" t="str">
        <f t="shared" si="26"/>
        <v/>
      </c>
      <c r="AA183" t="str">
        <f t="shared" si="27"/>
        <v/>
      </c>
      <c r="AB183" t="s">
        <v>601</v>
      </c>
    </row>
    <row r="184" spans="1:28">
      <c r="A184" t="s">
        <v>206</v>
      </c>
      <c r="B184" t="s">
        <v>574</v>
      </c>
      <c r="C184" t="s">
        <v>207</v>
      </c>
      <c r="D184" t="s">
        <v>326</v>
      </c>
      <c r="E184" s="2">
        <f t="shared" si="21"/>
        <v>1</v>
      </c>
      <c r="F184" t="s">
        <v>600</v>
      </c>
      <c r="V184" t="str">
        <f t="shared" si="22"/>
        <v/>
      </c>
      <c r="W184" t="str">
        <f t="shared" si="23"/>
        <v/>
      </c>
      <c r="X184" t="str">
        <f t="shared" si="24"/>
        <v/>
      </c>
      <c r="Y184" t="str">
        <f t="shared" si="25"/>
        <v/>
      </c>
      <c r="Z184" t="str">
        <f t="shared" si="26"/>
        <v/>
      </c>
      <c r="AA184" t="str">
        <f t="shared" si="27"/>
        <v/>
      </c>
      <c r="AB184" t="s">
        <v>601</v>
      </c>
    </row>
    <row r="185" spans="1:28">
      <c r="A185" t="s">
        <v>206</v>
      </c>
      <c r="B185" t="s">
        <v>575</v>
      </c>
      <c r="C185" t="s">
        <v>207</v>
      </c>
      <c r="D185" t="s">
        <v>329</v>
      </c>
      <c r="E185" s="2">
        <f t="shared" si="21"/>
        <v>2</v>
      </c>
      <c r="F185" t="s">
        <v>602</v>
      </c>
      <c r="G185" t="s">
        <v>600</v>
      </c>
      <c r="V185" t="str">
        <f t="shared" si="22"/>
        <v/>
      </c>
      <c r="W185" t="str">
        <f t="shared" si="23"/>
        <v/>
      </c>
      <c r="X185" t="str">
        <f t="shared" si="24"/>
        <v/>
      </c>
      <c r="Y185" t="str">
        <f t="shared" si="25"/>
        <v/>
      </c>
      <c r="Z185" t="str">
        <f t="shared" si="26"/>
        <v/>
      </c>
      <c r="AA185" t="str">
        <f t="shared" si="27"/>
        <v/>
      </c>
      <c r="AB185" t="s">
        <v>601</v>
      </c>
    </row>
    <row r="186" spans="1:28">
      <c r="A186" t="s">
        <v>208</v>
      </c>
      <c r="B186" t="s">
        <v>576</v>
      </c>
      <c r="C186" t="s">
        <v>209</v>
      </c>
      <c r="D186" t="s">
        <v>326</v>
      </c>
      <c r="E186" s="2">
        <f t="shared" si="21"/>
        <v>2</v>
      </c>
      <c r="F186" t="s">
        <v>600</v>
      </c>
      <c r="G186" t="s">
        <v>608</v>
      </c>
      <c r="P186" t="s">
        <v>688</v>
      </c>
      <c r="V186" t="str">
        <f t="shared" si="22"/>
        <v>if (p_PropertyName == "Avg") { return (myIndicatorType.Avg[p_BarsAgo]); }</v>
      </c>
      <c r="W186" t="str">
        <f t="shared" si="23"/>
        <v/>
      </c>
      <c r="X186" t="str">
        <f t="shared" si="24"/>
        <v/>
      </c>
      <c r="Y186" t="str">
        <f t="shared" si="25"/>
        <v/>
      </c>
      <c r="Z186" t="str">
        <f t="shared" si="26"/>
        <v/>
      </c>
      <c r="AA186" t="str">
        <f t="shared" si="27"/>
        <v>if (p_PropertyName == "Avg") { return (myIndicatorType.Avg[p_BarsAgo]); }</v>
      </c>
      <c r="AB186" t="s">
        <v>723</v>
      </c>
    </row>
    <row r="187" spans="1:28">
      <c r="A187" t="s">
        <v>208</v>
      </c>
      <c r="B187" t="s">
        <v>577</v>
      </c>
      <c r="C187" t="s">
        <v>209</v>
      </c>
      <c r="D187" t="s">
        <v>329</v>
      </c>
      <c r="E187" s="2">
        <f t="shared" si="21"/>
        <v>3</v>
      </c>
      <c r="F187" t="s">
        <v>602</v>
      </c>
      <c r="G187" t="s">
        <v>600</v>
      </c>
      <c r="H187" t="s">
        <v>608</v>
      </c>
      <c r="P187" t="s">
        <v>688</v>
      </c>
      <c r="V187" t="str">
        <f t="shared" si="22"/>
        <v>if (p_PropertyName == "Avg") { return (myIndicatorType.Avg[p_BarsAgo]); }</v>
      </c>
      <c r="W187" t="str">
        <f t="shared" si="23"/>
        <v/>
      </c>
      <c r="X187" t="str">
        <f t="shared" si="24"/>
        <v/>
      </c>
      <c r="Y187" t="str">
        <f t="shared" si="25"/>
        <v/>
      </c>
      <c r="Z187" t="str">
        <f t="shared" si="26"/>
        <v/>
      </c>
      <c r="AA187" t="str">
        <f t="shared" si="27"/>
        <v>if (p_PropertyName == "Avg") { return (myIndicatorType.Avg[p_BarsAgo]); }</v>
      </c>
      <c r="AB187" t="s">
        <v>723</v>
      </c>
    </row>
    <row r="188" spans="1:28">
      <c r="A188" t="s">
        <v>210</v>
      </c>
      <c r="B188" t="s">
        <v>578</v>
      </c>
      <c r="C188" t="s">
        <v>211</v>
      </c>
      <c r="D188" t="s">
        <v>326</v>
      </c>
      <c r="E188" s="2">
        <f t="shared" si="21"/>
        <v>1</v>
      </c>
      <c r="F188" t="s">
        <v>600</v>
      </c>
      <c r="V188" t="str">
        <f t="shared" si="22"/>
        <v/>
      </c>
      <c r="W188" t="str">
        <f t="shared" si="23"/>
        <v/>
      </c>
      <c r="X188" t="str">
        <f t="shared" si="24"/>
        <v/>
      </c>
      <c r="Y188" t="str">
        <f t="shared" si="25"/>
        <v/>
      </c>
      <c r="Z188" t="str">
        <f t="shared" si="26"/>
        <v/>
      </c>
      <c r="AA188" t="str">
        <f t="shared" si="27"/>
        <v/>
      </c>
      <c r="AB188" t="s">
        <v>601</v>
      </c>
    </row>
    <row r="189" spans="1:28">
      <c r="A189" t="s">
        <v>210</v>
      </c>
      <c r="B189" t="s">
        <v>579</v>
      </c>
      <c r="C189" t="s">
        <v>211</v>
      </c>
      <c r="D189" t="s">
        <v>329</v>
      </c>
      <c r="E189" s="2">
        <f t="shared" si="21"/>
        <v>2</v>
      </c>
      <c r="F189" t="s">
        <v>602</v>
      </c>
      <c r="G189" t="s">
        <v>600</v>
      </c>
      <c r="V189" t="str">
        <f t="shared" si="22"/>
        <v/>
      </c>
      <c r="W189" t="str">
        <f t="shared" si="23"/>
        <v/>
      </c>
      <c r="X189" t="str">
        <f t="shared" si="24"/>
        <v/>
      </c>
      <c r="Y189" t="str">
        <f t="shared" si="25"/>
        <v/>
      </c>
      <c r="Z189" t="str">
        <f t="shared" si="26"/>
        <v/>
      </c>
      <c r="AA189" t="str">
        <f t="shared" si="27"/>
        <v/>
      </c>
      <c r="AB189" t="s">
        <v>601</v>
      </c>
    </row>
    <row r="190" spans="1:28">
      <c r="A190" t="s">
        <v>212</v>
      </c>
      <c r="B190" t="s">
        <v>580</v>
      </c>
      <c r="C190" t="s">
        <v>213</v>
      </c>
      <c r="D190" t="s">
        <v>326</v>
      </c>
      <c r="E190" s="2">
        <f t="shared" si="21"/>
        <v>3</v>
      </c>
      <c r="F190" t="s">
        <v>724</v>
      </c>
      <c r="G190" t="s">
        <v>725</v>
      </c>
      <c r="H190" t="s">
        <v>726</v>
      </c>
      <c r="V190" t="str">
        <f t="shared" si="22"/>
        <v/>
      </c>
      <c r="W190" t="str">
        <f t="shared" si="23"/>
        <v/>
      </c>
      <c r="X190" t="str">
        <f t="shared" si="24"/>
        <v/>
      </c>
      <c r="Y190" t="str">
        <f t="shared" si="25"/>
        <v/>
      </c>
      <c r="Z190" t="str">
        <f t="shared" si="26"/>
        <v/>
      </c>
      <c r="AA190" t="str">
        <f t="shared" si="27"/>
        <v/>
      </c>
      <c r="AB190" t="s">
        <v>601</v>
      </c>
    </row>
    <row r="191" spans="1:28">
      <c r="A191" t="s">
        <v>212</v>
      </c>
      <c r="B191" t="s">
        <v>584</v>
      </c>
      <c r="C191" t="s">
        <v>213</v>
      </c>
      <c r="D191" t="s">
        <v>329</v>
      </c>
      <c r="E191" s="2">
        <f t="shared" si="21"/>
        <v>4</v>
      </c>
      <c r="F191" t="s">
        <v>602</v>
      </c>
      <c r="G191" t="s">
        <v>724</v>
      </c>
      <c r="H191" t="s">
        <v>725</v>
      </c>
      <c r="I191" t="s">
        <v>726</v>
      </c>
      <c r="V191" t="str">
        <f t="shared" si="22"/>
        <v/>
      </c>
      <c r="W191" t="str">
        <f t="shared" si="23"/>
        <v/>
      </c>
      <c r="X191" t="str">
        <f t="shared" si="24"/>
        <v/>
      </c>
      <c r="Y191" t="str">
        <f t="shared" si="25"/>
        <v/>
      </c>
      <c r="Z191" t="str">
        <f t="shared" si="26"/>
        <v/>
      </c>
      <c r="AA191" t="str">
        <f t="shared" si="27"/>
        <v/>
      </c>
      <c r="AB191" t="s">
        <v>601</v>
      </c>
    </row>
    <row r="192" spans="1:28">
      <c r="A192" t="s">
        <v>214</v>
      </c>
      <c r="B192" t="s">
        <v>585</v>
      </c>
      <c r="C192" t="s">
        <v>215</v>
      </c>
      <c r="D192" t="s">
        <v>326</v>
      </c>
      <c r="E192" s="2">
        <f t="shared" si="21"/>
        <v>1</v>
      </c>
      <c r="F192" t="s">
        <v>600</v>
      </c>
      <c r="V192" t="str">
        <f t="shared" si="22"/>
        <v/>
      </c>
      <c r="W192" t="str">
        <f t="shared" si="23"/>
        <v/>
      </c>
      <c r="X192" t="str">
        <f t="shared" si="24"/>
        <v/>
      </c>
      <c r="Y192" t="str">
        <f t="shared" si="25"/>
        <v/>
      </c>
      <c r="Z192" t="str">
        <f t="shared" si="26"/>
        <v/>
      </c>
      <c r="AA192" t="str">
        <f t="shared" si="27"/>
        <v/>
      </c>
      <c r="AB192" t="s">
        <v>601</v>
      </c>
    </row>
    <row r="193" spans="1:28">
      <c r="A193" t="s">
        <v>214</v>
      </c>
      <c r="B193" t="s">
        <v>586</v>
      </c>
      <c r="C193" t="s">
        <v>215</v>
      </c>
      <c r="D193" t="s">
        <v>329</v>
      </c>
      <c r="E193" s="2">
        <f t="shared" si="21"/>
        <v>2</v>
      </c>
      <c r="F193" t="s">
        <v>602</v>
      </c>
      <c r="G193" t="s">
        <v>600</v>
      </c>
      <c r="V193" t="str">
        <f t="shared" si="22"/>
        <v/>
      </c>
      <c r="W193" t="str">
        <f t="shared" si="23"/>
        <v/>
      </c>
      <c r="X193" t="str">
        <f t="shared" si="24"/>
        <v/>
      </c>
      <c r="Y193" t="str">
        <f t="shared" si="25"/>
        <v/>
      </c>
      <c r="Z193" t="str">
        <f t="shared" si="26"/>
        <v/>
      </c>
      <c r="AA193" t="str">
        <f t="shared" si="27"/>
        <v/>
      </c>
      <c r="AB193" t="s">
        <v>601</v>
      </c>
    </row>
  </sheetData>
  <autoFilter ref="A1:AB193"/>
  <pageMargins left="0.699305555555556" right="0.699305555555556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W61"/>
  <sheetViews>
    <sheetView workbookViewId="0">
      <selection activeCell="B1" sqref="B$1:B$1048576"/>
    </sheetView>
  </sheetViews>
  <sheetFormatPr defaultColWidth="9" defaultRowHeight="14.25"/>
  <cols>
    <col min="1" max="1" width="19.625" customWidth="1"/>
    <col min="2" max="2" width="10.375" customWidth="1"/>
    <col min="3" max="3" width="13.125" customWidth="1"/>
  </cols>
  <sheetData>
    <row r="1" spans="1:23">
      <c r="A1" t="s">
        <v>727</v>
      </c>
      <c r="B1" t="s">
        <v>728</v>
      </c>
      <c r="C1" t="s">
        <v>729</v>
      </c>
      <c r="D1" t="s">
        <v>730</v>
      </c>
      <c r="E1" t="s">
        <v>731</v>
      </c>
      <c r="F1" t="s">
        <v>732</v>
      </c>
      <c r="G1" t="s">
        <v>733</v>
      </c>
      <c r="H1" t="s">
        <v>734</v>
      </c>
      <c r="I1" t="s">
        <v>735</v>
      </c>
      <c r="J1" t="s">
        <v>736</v>
      </c>
      <c r="K1" t="s">
        <v>737</v>
      </c>
      <c r="L1" t="s">
        <v>738</v>
      </c>
      <c r="M1" t="s">
        <v>739</v>
      </c>
      <c r="N1" t="s">
        <v>740</v>
      </c>
      <c r="O1" t="s">
        <v>741</v>
      </c>
      <c r="P1" t="s">
        <v>742</v>
      </c>
      <c r="Q1" t="s">
        <v>743</v>
      </c>
      <c r="R1" t="s">
        <v>744</v>
      </c>
      <c r="S1" t="s">
        <v>745</v>
      </c>
      <c r="T1" t="s">
        <v>746</v>
      </c>
      <c r="U1" t="s">
        <v>747</v>
      </c>
      <c r="V1" t="s">
        <v>748</v>
      </c>
      <c r="W1" t="s">
        <v>749</v>
      </c>
    </row>
    <row r="2" spans="1:23">
      <c r="A2" t="s">
        <v>600</v>
      </c>
      <c r="B2" t="s">
        <v>750</v>
      </c>
      <c r="C2" t="str">
        <f>"["&amp;D2&amp;","&amp;E2&amp;","&amp;F2&amp;","&amp;G2&amp;","&amp;H2&amp;","&amp;I2&amp;","&amp;J2&amp;","&amp;K2&amp;","&amp;L2&amp;","&amp;M2&amp;"]"</f>
        <v>[2,3,5,8,13,21,34,55,89,144]</v>
      </c>
      <c r="D2">
        <v>2</v>
      </c>
      <c r="E2">
        <v>3</v>
      </c>
      <c r="F2" s="1">
        <f t="shared" ref="F2:M2" si="0">D2+E2</f>
        <v>5</v>
      </c>
      <c r="G2" s="1">
        <f t="shared" si="0"/>
        <v>8</v>
      </c>
      <c r="H2" s="1">
        <f t="shared" si="0"/>
        <v>13</v>
      </c>
      <c r="I2" s="1">
        <f t="shared" si="0"/>
        <v>21</v>
      </c>
      <c r="J2" s="1">
        <f t="shared" si="0"/>
        <v>34</v>
      </c>
      <c r="K2" s="1">
        <f t="shared" si="0"/>
        <v>55</v>
      </c>
      <c r="L2" s="1">
        <f t="shared" si="0"/>
        <v>89</v>
      </c>
      <c r="M2" s="1">
        <f t="shared" si="0"/>
        <v>144</v>
      </c>
      <c r="N2" s="1"/>
      <c r="O2" s="1"/>
      <c r="P2" s="1"/>
      <c r="Q2" s="1"/>
      <c r="R2" s="1"/>
      <c r="S2" s="1"/>
      <c r="T2" s="1"/>
      <c r="U2" s="1"/>
      <c r="V2" s="1"/>
      <c r="W2" s="1"/>
    </row>
    <row r="3" spans="1:1">
      <c r="A3" t="s">
        <v>602</v>
      </c>
    </row>
    <row r="4" spans="1:1">
      <c r="A4" t="s">
        <v>606</v>
      </c>
    </row>
    <row r="5" spans="1:1">
      <c r="A5" t="s">
        <v>612</v>
      </c>
    </row>
    <row r="6" spans="1:1">
      <c r="A6" t="s">
        <v>620</v>
      </c>
    </row>
    <row r="7" spans="1:1">
      <c r="A7" t="s">
        <v>625</v>
      </c>
    </row>
    <row r="8" spans="1:1">
      <c r="A8" t="s">
        <v>626</v>
      </c>
    </row>
    <row r="9" spans="1:1">
      <c r="A9" t="s">
        <v>378</v>
      </c>
    </row>
    <row r="10" spans="1:1">
      <c r="A10" t="s">
        <v>630</v>
      </c>
    </row>
    <row r="11" spans="1:1">
      <c r="A11" t="s">
        <v>636</v>
      </c>
    </row>
    <row r="12" spans="1:1">
      <c r="A12" t="s">
        <v>649</v>
      </c>
    </row>
    <row r="13" spans="1:1">
      <c r="A13" t="s">
        <v>656</v>
      </c>
    </row>
    <row r="14" spans="1:1">
      <c r="A14" t="s">
        <v>657</v>
      </c>
    </row>
    <row r="15" spans="1:1">
      <c r="A15" t="s">
        <v>661</v>
      </c>
    </row>
    <row r="16" spans="1:1">
      <c r="A16" t="s">
        <v>608</v>
      </c>
    </row>
    <row r="17" spans="1:1">
      <c r="A17" t="s">
        <v>668</v>
      </c>
    </row>
    <row r="18" spans="1:1">
      <c r="A18" t="s">
        <v>670</v>
      </c>
    </row>
    <row r="19" spans="1:1">
      <c r="A19" t="s">
        <v>672</v>
      </c>
    </row>
    <row r="20" spans="1:1">
      <c r="A20" t="s">
        <v>684</v>
      </c>
    </row>
    <row r="21" spans="1:1">
      <c r="A21" t="s">
        <v>686</v>
      </c>
    </row>
    <row r="22" spans="1:1">
      <c r="A22" t="s">
        <v>690</v>
      </c>
    </row>
    <row r="23" spans="1:1">
      <c r="A23" t="s">
        <v>694</v>
      </c>
    </row>
    <row r="24" spans="1:1">
      <c r="A24" t="s">
        <v>698</v>
      </c>
    </row>
    <row r="25" spans="1:1">
      <c r="A25" t="s">
        <v>705</v>
      </c>
    </row>
    <row r="26" spans="1:1">
      <c r="A26" t="s">
        <v>708</v>
      </c>
    </row>
    <row r="27" spans="1:1">
      <c r="A27" t="s">
        <v>722</v>
      </c>
    </row>
    <row r="28" spans="1:1">
      <c r="A28" t="s">
        <v>724</v>
      </c>
    </row>
    <row r="29" spans="1:1">
      <c r="A29" t="s">
        <v>607</v>
      </c>
    </row>
    <row r="30" spans="1:1">
      <c r="A30" t="s">
        <v>618</v>
      </c>
    </row>
    <row r="31" spans="1:1">
      <c r="A31" t="s">
        <v>621</v>
      </c>
    </row>
    <row r="32" spans="1:1">
      <c r="A32" t="s">
        <v>622</v>
      </c>
    </row>
    <row r="33" spans="1:1">
      <c r="A33" t="s">
        <v>627</v>
      </c>
    </row>
    <row r="34" spans="1:1">
      <c r="A34" t="s">
        <v>628</v>
      </c>
    </row>
    <row r="35" spans="1:1">
      <c r="A35" t="s">
        <v>629</v>
      </c>
    </row>
    <row r="36" spans="1:1">
      <c r="A36" t="s">
        <v>631</v>
      </c>
    </row>
    <row r="37" spans="1:1">
      <c r="A37" t="s">
        <v>637</v>
      </c>
    </row>
    <row r="38" spans="1:1">
      <c r="A38" t="s">
        <v>650</v>
      </c>
    </row>
    <row r="39" spans="1:1">
      <c r="A39" t="s">
        <v>669</v>
      </c>
    </row>
    <row r="40" spans="1:1">
      <c r="A40" t="s">
        <v>671</v>
      </c>
    </row>
    <row r="41" spans="1:1">
      <c r="A41" t="s">
        <v>673</v>
      </c>
    </row>
    <row r="42" spans="1:1">
      <c r="A42" t="s">
        <v>685</v>
      </c>
    </row>
    <row r="43" spans="1:1">
      <c r="A43" t="s">
        <v>691</v>
      </c>
    </row>
    <row r="44" spans="1:1">
      <c r="A44" t="s">
        <v>695</v>
      </c>
    </row>
    <row r="45" spans="1:1">
      <c r="A45" t="s">
        <v>699</v>
      </c>
    </row>
    <row r="46" spans="1:1">
      <c r="A46" t="s">
        <v>702</v>
      </c>
    </row>
    <row r="47" spans="1:1">
      <c r="A47" t="s">
        <v>706</v>
      </c>
    </row>
    <row r="48" spans="1:1">
      <c r="A48" t="s">
        <v>725</v>
      </c>
    </row>
    <row r="49" spans="1:1">
      <c r="A49" t="s">
        <v>619</v>
      </c>
    </row>
    <row r="50" spans="1:1">
      <c r="A50" t="s">
        <v>632</v>
      </c>
    </row>
    <row r="51" spans="1:1">
      <c r="A51" t="s">
        <v>674</v>
      </c>
    </row>
    <row r="52" spans="1:1">
      <c r="A52" t="s">
        <v>700</v>
      </c>
    </row>
    <row r="53" spans="1:1">
      <c r="A53" t="s">
        <v>703</v>
      </c>
    </row>
    <row r="54" spans="1:1">
      <c r="A54" t="s">
        <v>707</v>
      </c>
    </row>
    <row r="55" spans="1:1">
      <c r="A55" t="s">
        <v>709</v>
      </c>
    </row>
    <row r="56" spans="1:1">
      <c r="A56" t="s">
        <v>726</v>
      </c>
    </row>
    <row r="57" spans="1:1">
      <c r="A57" t="s">
        <v>638</v>
      </c>
    </row>
    <row r="58" spans="1:1">
      <c r="A58" t="s">
        <v>675</v>
      </c>
    </row>
    <row r="59" spans="1:1">
      <c r="A59" t="s">
        <v>701</v>
      </c>
    </row>
    <row r="60" spans="1:1">
      <c r="A60" t="s">
        <v>704</v>
      </c>
    </row>
    <row r="61" spans="1:1">
      <c r="A61" t="s">
        <v>710</v>
      </c>
    </row>
  </sheetData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Ori</vt:lpstr>
      <vt:lpstr>CodePaste</vt:lpstr>
      <vt:lpstr>ParameterInfo</vt:lpstr>
      <vt:lpstr>ParameterName_PropertyName</vt:lpstr>
      <vt:lpstr>Param_Iterations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Chen</dc:creator>
  <cp:lastModifiedBy>Simon Chen</cp:lastModifiedBy>
  <dcterms:created xsi:type="dcterms:W3CDTF">2016-04-28T17:40:00Z</dcterms:created>
  <dcterms:modified xsi:type="dcterms:W3CDTF">2016-10-18T09:13:07Z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2052-10.1.0.5672</vt:lpwstr>
  </property>
</Properties>
</file>